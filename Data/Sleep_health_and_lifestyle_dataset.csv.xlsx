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ihino\Documents\Data Class\Primelead\"/>
    </mc:Choice>
  </mc:AlternateContent>
  <xr:revisionPtr revIDLastSave="0" documentId="13_ncr:9_{323E1B7A-080E-4885-B4D9-DFAE6A429E80}" xr6:coauthVersionLast="47" xr6:coauthVersionMax="47" xr10:uidLastSave="{00000000-0000-0000-0000-000000000000}"/>
  <bookViews>
    <workbookView xWindow="-120" yWindow="-120" windowWidth="29040" windowHeight="16440" activeTab="1" xr2:uid="{6AE322BF-45D9-4445-B3FB-1BE83D145D2E}"/>
  </bookViews>
  <sheets>
    <sheet name="Sleep_health_and_lifestyle_data" sheetId="1" r:id="rId1"/>
    <sheet name="Pivot Table" sheetId="3" r:id="rId2"/>
    <sheet name="Dashboard" sheetId="4" r:id="rId3"/>
    <sheet name="Work sheet" sheetId="2" r:id="rId4"/>
  </sheets>
  <definedNames>
    <definedName name="_xlnm._FilterDatabase" localSheetId="0" hidden="1">Sleep_health_and_lifestyle_data!$A$1:$M$375</definedName>
    <definedName name="_xlnm._FilterDatabase" localSheetId="3" hidden="1">'Work sheet'!$A$1:$T$375</definedName>
    <definedName name="Slicer_Age_Group">#N/A</definedName>
    <definedName name="Slicer_Blood_Pressure_Range">#N/A</definedName>
    <definedName name="Slicer_Daily_Steps_Range">#N/A</definedName>
    <definedName name="Slicer_Heart_Rate_Range">#N/A</definedName>
    <definedName name="Slicer_Physical_Activity_Level_Range">#N/A</definedName>
    <definedName name="Slicer_Quality_of_Sleep_Range">#N/A</definedName>
    <definedName name="Slicer_Stress_Level_Range">#N/A</definedName>
  </definedNames>
  <calcPr calcId="0"/>
  <pivotCaches>
    <pivotCache cacheId="16"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T2" i="2" l="1"/>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2" i="2"/>
  <c r="B11" i="3"/>
</calcChain>
</file>

<file path=xl/sharedStrings.xml><?xml version="1.0" encoding="utf-8"?>
<sst xmlns="http://schemas.openxmlformats.org/spreadsheetml/2006/main" count="3818" uniqueCount="73">
  <si>
    <t>Person ID</t>
  </si>
  <si>
    <t>Gender</t>
  </si>
  <si>
    <t>Age</t>
  </si>
  <si>
    <t>Occupation</t>
  </si>
  <si>
    <t>Sleep Duration</t>
  </si>
  <si>
    <t>Quality of Sleep</t>
  </si>
  <si>
    <t>Physical Activity Level</t>
  </si>
  <si>
    <t>Stress Level</t>
  </si>
  <si>
    <t>BMI Category</t>
  </si>
  <si>
    <t>Blood Pressure</t>
  </si>
  <si>
    <t>Heart Rate</t>
  </si>
  <si>
    <t>Daily Steps</t>
  </si>
  <si>
    <t>Sleep Disorder</t>
  </si>
  <si>
    <t>Male</t>
  </si>
  <si>
    <t>Software Engineer</t>
  </si>
  <si>
    <t>Overweight</t>
  </si>
  <si>
    <t>126/83</t>
  </si>
  <si>
    <t>None</t>
  </si>
  <si>
    <t>Doctor</t>
  </si>
  <si>
    <t>Normal</t>
  </si>
  <si>
    <t>125/80</t>
  </si>
  <si>
    <t>Sales Representative</t>
  </si>
  <si>
    <t>Obese</t>
  </si>
  <si>
    <t>140/90</t>
  </si>
  <si>
    <t>Sleep Apnea</t>
  </si>
  <si>
    <t>Insomnia</t>
  </si>
  <si>
    <t>Teacher</t>
  </si>
  <si>
    <t>120/80</t>
  </si>
  <si>
    <t>Female</t>
  </si>
  <si>
    <t>Nurse</t>
  </si>
  <si>
    <t>Normal Weight</t>
  </si>
  <si>
    <t>132/87</t>
  </si>
  <si>
    <t>130/86</t>
  </si>
  <si>
    <t>117/76</t>
  </si>
  <si>
    <t>Engineer</t>
  </si>
  <si>
    <t>Accountant</t>
  </si>
  <si>
    <t>118/76</t>
  </si>
  <si>
    <t>Scientist</t>
  </si>
  <si>
    <t>128/85</t>
  </si>
  <si>
    <t>131/86</t>
  </si>
  <si>
    <t>128/84</t>
  </si>
  <si>
    <t>115/75</t>
  </si>
  <si>
    <t>Lawyer</t>
  </si>
  <si>
    <t>135/88</t>
  </si>
  <si>
    <t>129/84</t>
  </si>
  <si>
    <t>130/85</t>
  </si>
  <si>
    <t>115/78</t>
  </si>
  <si>
    <t>119/77</t>
  </si>
  <si>
    <t>121/79</t>
  </si>
  <si>
    <t>125/82</t>
  </si>
  <si>
    <t>Salesperson</t>
  </si>
  <si>
    <t>135/90</t>
  </si>
  <si>
    <t>122/80</t>
  </si>
  <si>
    <t>Manager</t>
  </si>
  <si>
    <t>142/92</t>
  </si>
  <si>
    <t>140/95</t>
  </si>
  <si>
    <t>139/91</t>
  </si>
  <si>
    <t>118/75</t>
  </si>
  <si>
    <t>Age_Group</t>
  </si>
  <si>
    <t>Quality_of_Sleep_Range</t>
  </si>
  <si>
    <t>Physical_Activity_Level_Range</t>
  </si>
  <si>
    <t>Stress_Level_Range</t>
  </si>
  <si>
    <t>Blood_Pressure_Range</t>
  </si>
  <si>
    <t>Heart_Rate_Range</t>
  </si>
  <si>
    <t>Daily_Steps_Range</t>
  </si>
  <si>
    <t>Row Labels</t>
  </si>
  <si>
    <t>Grand Total</t>
  </si>
  <si>
    <t>Adult</t>
  </si>
  <si>
    <t>Old</t>
  </si>
  <si>
    <t>Young Adult</t>
  </si>
  <si>
    <t>Count of Person ID</t>
  </si>
  <si>
    <t>Average of Daily Steps</t>
  </si>
  <si>
    <t>Average of Physical Activity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</si>
</sst>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E8D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FDDBDB"/>
      <color rgb="FFD7E8D4"/>
      <color rgb="FF9B9DFF"/>
      <color rgb="FFDCF4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[Sleep_health_and_lifestyle_dataset.csv.xlsx]Pivot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Female</c:v>
                </c:pt>
                <c:pt idx="1">
                  <c:v>Male</c:v>
                </c:pt>
              </c:strCache>
            </c:strRef>
          </c:cat>
          <c:val>
            <c:numRef>
              <c:f>'Pivot Table'!$B$4:$B$6</c:f>
              <c:numCache>
                <c:formatCode>General</c:formatCode>
                <c:ptCount val="2"/>
                <c:pt idx="0">
                  <c:v>185</c:v>
                </c:pt>
                <c:pt idx="1">
                  <c:v>189</c:v>
                </c:pt>
              </c:numCache>
            </c:numRef>
          </c:val>
          <c:extLst>
            <c:ext xmlns:c16="http://schemas.microsoft.com/office/drawing/2014/chart" uri="{C3380CC4-5D6E-409C-BE32-E72D297353CC}">
              <c16:uniqueId val="{00000000-EABB-4C56-B80B-2A9E08B46DF4}"/>
            </c:ext>
          </c:extLst>
        </c:ser>
        <c:dLbls>
          <c:dLblPos val="outEnd"/>
          <c:showLegendKey val="0"/>
          <c:showVal val="1"/>
          <c:showCatName val="0"/>
          <c:showSerName val="0"/>
          <c:showPercent val="0"/>
          <c:showBubbleSize val="0"/>
        </c:dLbls>
        <c:gapWidth val="219"/>
        <c:overlap val="-27"/>
        <c:axId val="142920288"/>
        <c:axId val="142920768"/>
      </c:barChart>
      <c:catAx>
        <c:axId val="14292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20768"/>
        <c:crosses val="autoZero"/>
        <c:auto val="1"/>
        <c:lblAlgn val="ctr"/>
        <c:lblOffset val="100"/>
        <c:noMultiLvlLbl val="0"/>
      </c:catAx>
      <c:valAx>
        <c:axId val="142920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2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F4F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[Sleep_health_and_lifestyle_dataset.csv.xlsx]Pivot Table!PivotTable2</c:name>
    <c:fmtId val="0"/>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Table'!$B$20</c:f>
              <c:strCache>
                <c:ptCount val="1"/>
                <c:pt idx="0">
                  <c:v>Total</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Table'!$A$21:$A$32</c:f>
              <c:strCache>
                <c:ptCount val="11"/>
                <c:pt idx="0">
                  <c:v>Accountant</c:v>
                </c:pt>
                <c:pt idx="1">
                  <c:v>Doctor</c:v>
                </c:pt>
                <c:pt idx="2">
                  <c:v>Engineer</c:v>
                </c:pt>
                <c:pt idx="3">
                  <c:v>Lawyer</c:v>
                </c:pt>
                <c:pt idx="4">
                  <c:v>Manager</c:v>
                </c:pt>
                <c:pt idx="5">
                  <c:v>Nurse</c:v>
                </c:pt>
                <c:pt idx="6">
                  <c:v>Sales Representative</c:v>
                </c:pt>
                <c:pt idx="7">
                  <c:v>Salesperson</c:v>
                </c:pt>
                <c:pt idx="8">
                  <c:v>Scientist</c:v>
                </c:pt>
                <c:pt idx="9">
                  <c:v>Software Engineer</c:v>
                </c:pt>
                <c:pt idx="10">
                  <c:v>Teacher</c:v>
                </c:pt>
              </c:strCache>
            </c:strRef>
          </c:cat>
          <c:val>
            <c:numRef>
              <c:f>'Pivot Table'!$B$21:$B$32</c:f>
              <c:numCache>
                <c:formatCode>General</c:formatCode>
                <c:ptCount val="11"/>
                <c:pt idx="0">
                  <c:v>37</c:v>
                </c:pt>
                <c:pt idx="1">
                  <c:v>71</c:v>
                </c:pt>
                <c:pt idx="2">
                  <c:v>63</c:v>
                </c:pt>
                <c:pt idx="3">
                  <c:v>47</c:v>
                </c:pt>
                <c:pt idx="4">
                  <c:v>1</c:v>
                </c:pt>
                <c:pt idx="5">
                  <c:v>73</c:v>
                </c:pt>
                <c:pt idx="6">
                  <c:v>2</c:v>
                </c:pt>
                <c:pt idx="7">
                  <c:v>32</c:v>
                </c:pt>
                <c:pt idx="8">
                  <c:v>4</c:v>
                </c:pt>
                <c:pt idx="9">
                  <c:v>4</c:v>
                </c:pt>
                <c:pt idx="10">
                  <c:v>40</c:v>
                </c:pt>
              </c:numCache>
            </c:numRef>
          </c:val>
          <c:extLst>
            <c:ext xmlns:c16="http://schemas.microsoft.com/office/drawing/2014/chart" uri="{C3380CC4-5D6E-409C-BE32-E72D297353CC}">
              <c16:uniqueId val="{00000000-2C5F-4B54-8F50-BBD35451C52C}"/>
            </c:ext>
          </c:extLst>
        </c:ser>
        <c:dLbls>
          <c:dLblPos val="outEnd"/>
          <c:showLegendKey val="0"/>
          <c:showVal val="1"/>
          <c:showCatName val="0"/>
          <c:showSerName val="0"/>
          <c:showPercent val="0"/>
          <c:showBubbleSize val="0"/>
        </c:dLbls>
        <c:gapWidth val="182"/>
        <c:axId val="142912128"/>
        <c:axId val="142907808"/>
      </c:barChart>
      <c:catAx>
        <c:axId val="142912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2907808"/>
        <c:crosses val="autoZero"/>
        <c:auto val="1"/>
        <c:lblAlgn val="ctr"/>
        <c:lblOffset val="100"/>
        <c:noMultiLvlLbl val="0"/>
      </c:catAx>
      <c:valAx>
        <c:axId val="142907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291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F4FC"/>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[Sleep_health_and_lifestyle_dataset.csv.xlsx]Pivot Table!PivotTable3</c:name>
    <c:fmtId val="0"/>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Table'!$B$38</c:f>
              <c:strCache>
                <c:ptCount val="1"/>
                <c:pt idx="0">
                  <c:v>Total</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Table'!$A$39:$A$42</c:f>
              <c:strCache>
                <c:ptCount val="3"/>
                <c:pt idx="0">
                  <c:v>Adult</c:v>
                </c:pt>
                <c:pt idx="1">
                  <c:v>Old</c:v>
                </c:pt>
                <c:pt idx="2">
                  <c:v>Young Adult</c:v>
                </c:pt>
              </c:strCache>
            </c:strRef>
          </c:cat>
          <c:val>
            <c:numRef>
              <c:f>'Pivot Table'!$B$39:$B$42</c:f>
              <c:numCache>
                <c:formatCode>General</c:formatCode>
                <c:ptCount val="3"/>
                <c:pt idx="0">
                  <c:v>196</c:v>
                </c:pt>
                <c:pt idx="1">
                  <c:v>96</c:v>
                </c:pt>
                <c:pt idx="2">
                  <c:v>82</c:v>
                </c:pt>
              </c:numCache>
            </c:numRef>
          </c:val>
          <c:extLst>
            <c:ext xmlns:c16="http://schemas.microsoft.com/office/drawing/2014/chart" uri="{C3380CC4-5D6E-409C-BE32-E72D297353CC}">
              <c16:uniqueId val="{00000000-3716-44BB-AA93-1328CA344618}"/>
            </c:ext>
          </c:extLst>
        </c:ser>
        <c:dLbls>
          <c:dLblPos val="outEnd"/>
          <c:showLegendKey val="0"/>
          <c:showVal val="1"/>
          <c:showCatName val="0"/>
          <c:showSerName val="0"/>
          <c:showPercent val="0"/>
          <c:showBubbleSize val="0"/>
        </c:dLbls>
        <c:gapWidth val="219"/>
        <c:overlap val="-27"/>
        <c:axId val="142913088"/>
        <c:axId val="142900128"/>
      </c:barChart>
      <c:catAx>
        <c:axId val="14291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2900128"/>
        <c:crosses val="autoZero"/>
        <c:auto val="1"/>
        <c:lblAlgn val="ctr"/>
        <c:lblOffset val="100"/>
        <c:noMultiLvlLbl val="0"/>
      </c:catAx>
      <c:valAx>
        <c:axId val="142900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291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F4FC"/>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[Sleep_health_and_lifestyle_dataset.csv.xlsx]Pivot Table!PivotTable4</c:name>
    <c:fmtId val="0"/>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Table'!$B$52</c:f>
              <c:strCache>
                <c:ptCount val="1"/>
                <c:pt idx="0">
                  <c:v>Total</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Table'!$A$53:$A$56</c:f>
              <c:strCache>
                <c:ptCount val="3"/>
                <c:pt idx="0">
                  <c:v>Adult</c:v>
                </c:pt>
                <c:pt idx="1">
                  <c:v>Old</c:v>
                </c:pt>
                <c:pt idx="2">
                  <c:v>Young Adult</c:v>
                </c:pt>
              </c:strCache>
            </c:strRef>
          </c:cat>
          <c:val>
            <c:numRef>
              <c:f>'Pivot Table'!$B$53:$B$56</c:f>
              <c:numCache>
                <c:formatCode>0.00</c:formatCode>
                <c:ptCount val="3"/>
                <c:pt idx="0">
                  <c:v>6874.4897959183672</c:v>
                </c:pt>
                <c:pt idx="1">
                  <c:v>6968.75</c:v>
                </c:pt>
                <c:pt idx="2">
                  <c:v>6501.2195121951218</c:v>
                </c:pt>
              </c:numCache>
            </c:numRef>
          </c:val>
          <c:extLst>
            <c:ext xmlns:c16="http://schemas.microsoft.com/office/drawing/2014/chart" uri="{C3380CC4-5D6E-409C-BE32-E72D297353CC}">
              <c16:uniqueId val="{00000000-A64D-4DDC-8B9D-0577B0C2C4C4}"/>
            </c:ext>
          </c:extLst>
        </c:ser>
        <c:dLbls>
          <c:dLblPos val="outEnd"/>
          <c:showLegendKey val="0"/>
          <c:showVal val="1"/>
          <c:showCatName val="0"/>
          <c:showSerName val="0"/>
          <c:showPercent val="0"/>
          <c:showBubbleSize val="0"/>
        </c:dLbls>
        <c:gapWidth val="219"/>
        <c:overlap val="-27"/>
        <c:axId val="142904448"/>
        <c:axId val="142895328"/>
      </c:barChart>
      <c:catAx>
        <c:axId val="14290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2895328"/>
        <c:crosses val="autoZero"/>
        <c:auto val="1"/>
        <c:lblAlgn val="ctr"/>
        <c:lblOffset val="100"/>
        <c:noMultiLvlLbl val="0"/>
      </c:catAx>
      <c:valAx>
        <c:axId val="1428953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290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F4FC"/>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[Sleep_health_and_lifestyle_dataset.csv.xlsx]Pivot Table!PivotTable5</c:name>
    <c:fmtId val="0"/>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Table'!$B$69</c:f>
              <c:strCache>
                <c:ptCount val="1"/>
                <c:pt idx="0">
                  <c:v>Total</c:v>
                </c:pt>
              </c:strCache>
            </c:strRef>
          </c:tx>
          <c:spPr>
            <a:ln w="28575" cap="rnd">
              <a:solidFill>
                <a:schemeClr val="tx1">
                  <a:lumMod val="65000"/>
                  <a:lumOff val="35000"/>
                </a:schemeClr>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Table'!$A$70:$A$81</c:f>
              <c:strCache>
                <c:ptCount val="11"/>
                <c:pt idx="0">
                  <c:v>Accountant</c:v>
                </c:pt>
                <c:pt idx="1">
                  <c:v>Doctor</c:v>
                </c:pt>
                <c:pt idx="2">
                  <c:v>Engineer</c:v>
                </c:pt>
                <c:pt idx="3">
                  <c:v>Lawyer</c:v>
                </c:pt>
                <c:pt idx="4">
                  <c:v>Manager</c:v>
                </c:pt>
                <c:pt idx="5">
                  <c:v>Nurse</c:v>
                </c:pt>
                <c:pt idx="6">
                  <c:v>Sales Representative</c:v>
                </c:pt>
                <c:pt idx="7">
                  <c:v>Salesperson</c:v>
                </c:pt>
                <c:pt idx="8">
                  <c:v>Scientist</c:v>
                </c:pt>
                <c:pt idx="9">
                  <c:v>Software Engineer</c:v>
                </c:pt>
                <c:pt idx="10">
                  <c:v>Teacher</c:v>
                </c:pt>
              </c:strCache>
            </c:strRef>
          </c:cat>
          <c:val>
            <c:numRef>
              <c:f>'Pivot Table'!$B$70:$B$81</c:f>
              <c:numCache>
                <c:formatCode>0.00</c:formatCode>
                <c:ptCount val="11"/>
                <c:pt idx="0">
                  <c:v>58.108108108108105</c:v>
                </c:pt>
                <c:pt idx="1">
                  <c:v>55.352112676056336</c:v>
                </c:pt>
                <c:pt idx="2">
                  <c:v>51.857142857142854</c:v>
                </c:pt>
                <c:pt idx="3">
                  <c:v>70.425531914893611</c:v>
                </c:pt>
                <c:pt idx="4">
                  <c:v>55</c:v>
                </c:pt>
                <c:pt idx="5">
                  <c:v>78.589041095890408</c:v>
                </c:pt>
                <c:pt idx="6">
                  <c:v>30</c:v>
                </c:pt>
                <c:pt idx="7">
                  <c:v>45</c:v>
                </c:pt>
                <c:pt idx="8">
                  <c:v>41</c:v>
                </c:pt>
                <c:pt idx="9">
                  <c:v>48</c:v>
                </c:pt>
                <c:pt idx="10">
                  <c:v>45.625</c:v>
                </c:pt>
              </c:numCache>
            </c:numRef>
          </c:val>
          <c:smooth val="0"/>
          <c:extLst>
            <c:ext xmlns:c16="http://schemas.microsoft.com/office/drawing/2014/chart" uri="{C3380CC4-5D6E-409C-BE32-E72D297353CC}">
              <c16:uniqueId val="{00000000-76F2-4B32-BD32-4BB259B1375D}"/>
            </c:ext>
          </c:extLst>
        </c:ser>
        <c:dLbls>
          <c:dLblPos val="t"/>
          <c:showLegendKey val="0"/>
          <c:showVal val="1"/>
          <c:showCatName val="0"/>
          <c:showSerName val="0"/>
          <c:showPercent val="0"/>
          <c:showBubbleSize val="0"/>
        </c:dLbls>
        <c:smooth val="0"/>
        <c:axId val="142896768"/>
        <c:axId val="142911648"/>
      </c:lineChart>
      <c:catAx>
        <c:axId val="14289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2911648"/>
        <c:crosses val="autoZero"/>
        <c:auto val="1"/>
        <c:lblAlgn val="ctr"/>
        <c:lblOffset val="100"/>
        <c:noMultiLvlLbl val="0"/>
      </c:catAx>
      <c:valAx>
        <c:axId val="1429116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289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F4FC"/>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[Sleep_health_and_lifestyle_dataset.csv.xlsx]Pivot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Client's</a:t>
            </a:r>
            <a:r>
              <a:rPr lang="en-US" b="1" baseline="0"/>
              <a:t>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Female</c:v>
                </c:pt>
                <c:pt idx="1">
                  <c:v>Male</c:v>
                </c:pt>
              </c:strCache>
            </c:strRef>
          </c:cat>
          <c:val>
            <c:numRef>
              <c:f>'Pivot Table'!$B$4:$B$6</c:f>
              <c:numCache>
                <c:formatCode>General</c:formatCode>
                <c:ptCount val="2"/>
                <c:pt idx="0">
                  <c:v>185</c:v>
                </c:pt>
                <c:pt idx="1">
                  <c:v>189</c:v>
                </c:pt>
              </c:numCache>
            </c:numRef>
          </c:val>
          <c:extLst>
            <c:ext xmlns:c16="http://schemas.microsoft.com/office/drawing/2014/chart" uri="{C3380CC4-5D6E-409C-BE32-E72D297353CC}">
              <c16:uniqueId val="{00000000-D54D-4599-A066-0067F7121A2B}"/>
            </c:ext>
          </c:extLst>
        </c:ser>
        <c:dLbls>
          <c:dLblPos val="outEnd"/>
          <c:showLegendKey val="0"/>
          <c:showVal val="1"/>
          <c:showCatName val="0"/>
          <c:showSerName val="0"/>
          <c:showPercent val="0"/>
          <c:showBubbleSize val="0"/>
        </c:dLbls>
        <c:gapWidth val="219"/>
        <c:overlap val="-27"/>
        <c:axId val="142920288"/>
        <c:axId val="142920768"/>
      </c:barChart>
      <c:catAx>
        <c:axId val="142920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20768"/>
        <c:crosses val="autoZero"/>
        <c:auto val="1"/>
        <c:lblAlgn val="ctr"/>
        <c:lblOffset val="100"/>
        <c:noMultiLvlLbl val="0"/>
      </c:catAx>
      <c:valAx>
        <c:axId val="1429207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2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F4F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[Sleep_health_and_lifestyle_dataset.csv.xlsx]Pivot Table!PivotTable2</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Client's</a:t>
            </a:r>
            <a:r>
              <a:rPr lang="en-US" b="1" baseline="0"/>
              <a:t> Occupation</a:t>
            </a:r>
            <a:endParaRPr lang="en-US" b="1"/>
          </a:p>
        </c:rich>
      </c:tx>
      <c:layout>
        <c:manualLayout>
          <c:xMode val="edge"/>
          <c:yMode val="edge"/>
          <c:x val="0.39010918636958924"/>
          <c:y val="7.3053368328958895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Table'!$B$20</c:f>
              <c:strCache>
                <c:ptCount val="1"/>
                <c:pt idx="0">
                  <c:v>Total</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Table'!$A$21:$A$32</c:f>
              <c:strCache>
                <c:ptCount val="11"/>
                <c:pt idx="0">
                  <c:v>Accountant</c:v>
                </c:pt>
                <c:pt idx="1">
                  <c:v>Doctor</c:v>
                </c:pt>
                <c:pt idx="2">
                  <c:v>Engineer</c:v>
                </c:pt>
                <c:pt idx="3">
                  <c:v>Lawyer</c:v>
                </c:pt>
                <c:pt idx="4">
                  <c:v>Manager</c:v>
                </c:pt>
                <c:pt idx="5">
                  <c:v>Nurse</c:v>
                </c:pt>
                <c:pt idx="6">
                  <c:v>Sales Representative</c:v>
                </c:pt>
                <c:pt idx="7">
                  <c:v>Salesperson</c:v>
                </c:pt>
                <c:pt idx="8">
                  <c:v>Scientist</c:v>
                </c:pt>
                <c:pt idx="9">
                  <c:v>Software Engineer</c:v>
                </c:pt>
                <c:pt idx="10">
                  <c:v>Teacher</c:v>
                </c:pt>
              </c:strCache>
            </c:strRef>
          </c:cat>
          <c:val>
            <c:numRef>
              <c:f>'Pivot Table'!$B$21:$B$32</c:f>
              <c:numCache>
                <c:formatCode>General</c:formatCode>
                <c:ptCount val="11"/>
                <c:pt idx="0">
                  <c:v>37</c:v>
                </c:pt>
                <c:pt idx="1">
                  <c:v>71</c:v>
                </c:pt>
                <c:pt idx="2">
                  <c:v>63</c:v>
                </c:pt>
                <c:pt idx="3">
                  <c:v>47</c:v>
                </c:pt>
                <c:pt idx="4">
                  <c:v>1</c:v>
                </c:pt>
                <c:pt idx="5">
                  <c:v>73</c:v>
                </c:pt>
                <c:pt idx="6">
                  <c:v>2</c:v>
                </c:pt>
                <c:pt idx="7">
                  <c:v>32</c:v>
                </c:pt>
                <c:pt idx="8">
                  <c:v>4</c:v>
                </c:pt>
                <c:pt idx="9">
                  <c:v>4</c:v>
                </c:pt>
                <c:pt idx="10">
                  <c:v>40</c:v>
                </c:pt>
              </c:numCache>
            </c:numRef>
          </c:val>
          <c:extLst>
            <c:ext xmlns:c16="http://schemas.microsoft.com/office/drawing/2014/chart" uri="{C3380CC4-5D6E-409C-BE32-E72D297353CC}">
              <c16:uniqueId val="{00000000-8D18-4C90-8F7A-4B94115A122D}"/>
            </c:ext>
          </c:extLst>
        </c:ser>
        <c:dLbls>
          <c:dLblPos val="outEnd"/>
          <c:showLegendKey val="0"/>
          <c:showVal val="1"/>
          <c:showCatName val="0"/>
          <c:showSerName val="0"/>
          <c:showPercent val="0"/>
          <c:showBubbleSize val="0"/>
        </c:dLbls>
        <c:gapWidth val="182"/>
        <c:axId val="142912128"/>
        <c:axId val="142907808"/>
      </c:barChart>
      <c:catAx>
        <c:axId val="1429121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2907808"/>
        <c:crosses val="autoZero"/>
        <c:auto val="1"/>
        <c:lblAlgn val="ctr"/>
        <c:lblOffset val="100"/>
        <c:noMultiLvlLbl val="0"/>
      </c:catAx>
      <c:valAx>
        <c:axId val="142907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29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F4FC"/>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[Sleep_health_and_lifestyle_dataset.csv.xlsx]Pivot Table!PivotTable3</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Client's</a:t>
            </a:r>
            <a:r>
              <a:rPr lang="en-US" b="1" baseline="0"/>
              <a:t> Age_Group</a:t>
            </a:r>
            <a:endParaRPr lang="en-US" b="1"/>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Table'!$B$38</c:f>
              <c:strCache>
                <c:ptCount val="1"/>
                <c:pt idx="0">
                  <c:v>Total</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Table'!$A$39:$A$42</c:f>
              <c:strCache>
                <c:ptCount val="3"/>
                <c:pt idx="0">
                  <c:v>Adult</c:v>
                </c:pt>
                <c:pt idx="1">
                  <c:v>Old</c:v>
                </c:pt>
                <c:pt idx="2">
                  <c:v>Young Adult</c:v>
                </c:pt>
              </c:strCache>
            </c:strRef>
          </c:cat>
          <c:val>
            <c:numRef>
              <c:f>'Pivot Table'!$B$39:$B$42</c:f>
              <c:numCache>
                <c:formatCode>General</c:formatCode>
                <c:ptCount val="3"/>
                <c:pt idx="0">
                  <c:v>196</c:v>
                </c:pt>
                <c:pt idx="1">
                  <c:v>96</c:v>
                </c:pt>
                <c:pt idx="2">
                  <c:v>82</c:v>
                </c:pt>
              </c:numCache>
            </c:numRef>
          </c:val>
          <c:extLst>
            <c:ext xmlns:c16="http://schemas.microsoft.com/office/drawing/2014/chart" uri="{C3380CC4-5D6E-409C-BE32-E72D297353CC}">
              <c16:uniqueId val="{00000000-9B09-449F-AC7F-3D5701464151}"/>
            </c:ext>
          </c:extLst>
        </c:ser>
        <c:dLbls>
          <c:dLblPos val="outEnd"/>
          <c:showLegendKey val="0"/>
          <c:showVal val="1"/>
          <c:showCatName val="0"/>
          <c:showSerName val="0"/>
          <c:showPercent val="0"/>
          <c:showBubbleSize val="0"/>
        </c:dLbls>
        <c:gapWidth val="219"/>
        <c:overlap val="-27"/>
        <c:axId val="142913088"/>
        <c:axId val="142900128"/>
      </c:barChart>
      <c:catAx>
        <c:axId val="14291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2900128"/>
        <c:crosses val="autoZero"/>
        <c:auto val="1"/>
        <c:lblAlgn val="ctr"/>
        <c:lblOffset val="100"/>
        <c:noMultiLvlLbl val="0"/>
      </c:catAx>
      <c:valAx>
        <c:axId val="142900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291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F4FC"/>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[Sleep_health_and_lifestyle_dataset.csv.xlsx]Pivot Table!PivotTable4</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Average Daily Steps by Age_Group</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Table'!$B$52</c:f>
              <c:strCache>
                <c:ptCount val="1"/>
                <c:pt idx="0">
                  <c:v>Total</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Table'!$A$53:$A$56</c:f>
              <c:strCache>
                <c:ptCount val="3"/>
                <c:pt idx="0">
                  <c:v>Adult</c:v>
                </c:pt>
                <c:pt idx="1">
                  <c:v>Old</c:v>
                </c:pt>
                <c:pt idx="2">
                  <c:v>Young Adult</c:v>
                </c:pt>
              </c:strCache>
            </c:strRef>
          </c:cat>
          <c:val>
            <c:numRef>
              <c:f>'Pivot Table'!$B$53:$B$56</c:f>
              <c:numCache>
                <c:formatCode>0.00</c:formatCode>
                <c:ptCount val="3"/>
                <c:pt idx="0">
                  <c:v>6874.4897959183672</c:v>
                </c:pt>
                <c:pt idx="1">
                  <c:v>6968.75</c:v>
                </c:pt>
                <c:pt idx="2">
                  <c:v>6501.2195121951218</c:v>
                </c:pt>
              </c:numCache>
            </c:numRef>
          </c:val>
          <c:extLst>
            <c:ext xmlns:c16="http://schemas.microsoft.com/office/drawing/2014/chart" uri="{C3380CC4-5D6E-409C-BE32-E72D297353CC}">
              <c16:uniqueId val="{00000000-551A-4825-B24B-FE8AFD67CA74}"/>
            </c:ext>
          </c:extLst>
        </c:ser>
        <c:dLbls>
          <c:dLblPos val="outEnd"/>
          <c:showLegendKey val="0"/>
          <c:showVal val="1"/>
          <c:showCatName val="0"/>
          <c:showSerName val="0"/>
          <c:showPercent val="0"/>
          <c:showBubbleSize val="0"/>
        </c:dLbls>
        <c:gapWidth val="219"/>
        <c:overlap val="-27"/>
        <c:axId val="142904448"/>
        <c:axId val="142895328"/>
      </c:barChart>
      <c:catAx>
        <c:axId val="14290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2895328"/>
        <c:crosses val="autoZero"/>
        <c:auto val="1"/>
        <c:lblAlgn val="ctr"/>
        <c:lblOffset val="100"/>
        <c:noMultiLvlLbl val="0"/>
      </c:catAx>
      <c:valAx>
        <c:axId val="1428953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290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F4FC"/>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[Sleep_health_and_lifestyle_dataset.csv.xlsx]Pivot Table!PivotTable5</c:name>
    <c:fmtId val="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Average Physical</a:t>
            </a:r>
            <a:r>
              <a:rPr lang="en-US" b="1" baseline="0"/>
              <a:t> Activity Level by Occupation</a:t>
            </a:r>
            <a:endParaRPr lang="en-US" b="1"/>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Table'!$B$69</c:f>
              <c:strCache>
                <c:ptCount val="1"/>
                <c:pt idx="0">
                  <c:v>Total</c:v>
                </c:pt>
              </c:strCache>
            </c:strRef>
          </c:tx>
          <c:spPr>
            <a:ln w="28575" cap="rnd">
              <a:solidFill>
                <a:schemeClr val="tx1">
                  <a:lumMod val="65000"/>
                  <a:lumOff val="35000"/>
                </a:schemeClr>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Table'!$A$70:$A$81</c:f>
              <c:strCache>
                <c:ptCount val="11"/>
                <c:pt idx="0">
                  <c:v>Accountant</c:v>
                </c:pt>
                <c:pt idx="1">
                  <c:v>Doctor</c:v>
                </c:pt>
                <c:pt idx="2">
                  <c:v>Engineer</c:v>
                </c:pt>
                <c:pt idx="3">
                  <c:v>Lawyer</c:v>
                </c:pt>
                <c:pt idx="4">
                  <c:v>Manager</c:v>
                </c:pt>
                <c:pt idx="5">
                  <c:v>Nurse</c:v>
                </c:pt>
                <c:pt idx="6">
                  <c:v>Sales Representative</c:v>
                </c:pt>
                <c:pt idx="7">
                  <c:v>Salesperson</c:v>
                </c:pt>
                <c:pt idx="8">
                  <c:v>Scientist</c:v>
                </c:pt>
                <c:pt idx="9">
                  <c:v>Software Engineer</c:v>
                </c:pt>
                <c:pt idx="10">
                  <c:v>Teacher</c:v>
                </c:pt>
              </c:strCache>
            </c:strRef>
          </c:cat>
          <c:val>
            <c:numRef>
              <c:f>'Pivot Table'!$B$70:$B$81</c:f>
              <c:numCache>
                <c:formatCode>0.00</c:formatCode>
                <c:ptCount val="11"/>
                <c:pt idx="0">
                  <c:v>58.108108108108105</c:v>
                </c:pt>
                <c:pt idx="1">
                  <c:v>55.352112676056336</c:v>
                </c:pt>
                <c:pt idx="2">
                  <c:v>51.857142857142854</c:v>
                </c:pt>
                <c:pt idx="3">
                  <c:v>70.425531914893611</c:v>
                </c:pt>
                <c:pt idx="4">
                  <c:v>55</c:v>
                </c:pt>
                <c:pt idx="5">
                  <c:v>78.589041095890408</c:v>
                </c:pt>
                <c:pt idx="6">
                  <c:v>30</c:v>
                </c:pt>
                <c:pt idx="7">
                  <c:v>45</c:v>
                </c:pt>
                <c:pt idx="8">
                  <c:v>41</c:v>
                </c:pt>
                <c:pt idx="9">
                  <c:v>48</c:v>
                </c:pt>
                <c:pt idx="10">
                  <c:v>45.625</c:v>
                </c:pt>
              </c:numCache>
            </c:numRef>
          </c:val>
          <c:smooth val="0"/>
          <c:extLst>
            <c:ext xmlns:c16="http://schemas.microsoft.com/office/drawing/2014/chart" uri="{C3380CC4-5D6E-409C-BE32-E72D297353CC}">
              <c16:uniqueId val="{00000000-BAC3-4107-9096-352AF096E5EF}"/>
            </c:ext>
          </c:extLst>
        </c:ser>
        <c:dLbls>
          <c:dLblPos val="t"/>
          <c:showLegendKey val="0"/>
          <c:showVal val="1"/>
          <c:showCatName val="0"/>
          <c:showSerName val="0"/>
          <c:showPercent val="0"/>
          <c:showBubbleSize val="0"/>
        </c:dLbls>
        <c:smooth val="0"/>
        <c:axId val="142896768"/>
        <c:axId val="142911648"/>
      </c:lineChart>
      <c:catAx>
        <c:axId val="14289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2911648"/>
        <c:crosses val="autoZero"/>
        <c:auto val="1"/>
        <c:lblAlgn val="ctr"/>
        <c:lblOffset val="100"/>
        <c:noMultiLvlLbl val="0"/>
      </c:catAx>
      <c:valAx>
        <c:axId val="1429116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289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F4FC"/>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600075</xdr:colOff>
      <xdr:row>0</xdr:row>
      <xdr:rowOff>185737</xdr:rowOff>
    </xdr:from>
    <xdr:to>
      <xdr:col>10</xdr:col>
      <xdr:colOff>400050</xdr:colOff>
      <xdr:row>15</xdr:row>
      <xdr:rowOff>71437</xdr:rowOff>
    </xdr:to>
    <xdr:graphicFrame macro="">
      <xdr:nvGraphicFramePr>
        <xdr:cNvPr id="2" name="Chart 1">
          <a:extLst>
            <a:ext uri="{FF2B5EF4-FFF2-40B4-BE49-F238E27FC236}">
              <a16:creationId xmlns:a16="http://schemas.microsoft.com/office/drawing/2014/main" id="{55123BD4-3904-1DA3-C3CB-9CA7FE1E8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542925</xdr:colOff>
      <xdr:row>18</xdr:row>
      <xdr:rowOff>52387</xdr:rowOff>
    </xdr:from>
    <xdr:to>
      <xdr:col>10</xdr:col>
      <xdr:colOff>561975</xdr:colOff>
      <xdr:row>32</xdr:row>
      <xdr:rowOff>128587</xdr:rowOff>
    </xdr:to>
    <xdr:graphicFrame macro="">
      <xdr:nvGraphicFramePr>
        <xdr:cNvPr id="3" name="Chart 2">
          <a:extLst>
            <a:ext uri="{FF2B5EF4-FFF2-40B4-BE49-F238E27FC236}">
              <a16:creationId xmlns:a16="http://schemas.microsoft.com/office/drawing/2014/main" id="{DAABCE22-E9EA-AB3C-770E-C13FE5B229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523875</xdr:colOff>
      <xdr:row>33</xdr:row>
      <xdr:rowOff>71437</xdr:rowOff>
    </xdr:from>
    <xdr:to>
      <xdr:col>10</xdr:col>
      <xdr:colOff>542925</xdr:colOff>
      <xdr:row>47</xdr:row>
      <xdr:rowOff>147637</xdr:rowOff>
    </xdr:to>
    <xdr:graphicFrame macro="">
      <xdr:nvGraphicFramePr>
        <xdr:cNvPr id="4" name="Chart 3">
          <a:extLst>
            <a:ext uri="{FF2B5EF4-FFF2-40B4-BE49-F238E27FC236}">
              <a16:creationId xmlns:a16="http://schemas.microsoft.com/office/drawing/2014/main" id="{DA28703E-296F-4A62-1A24-37D4F02CEA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523875</xdr:colOff>
      <xdr:row>49</xdr:row>
      <xdr:rowOff>90487</xdr:rowOff>
    </xdr:from>
    <xdr:to>
      <xdr:col>10</xdr:col>
      <xdr:colOff>542925</xdr:colOff>
      <xdr:row>63</xdr:row>
      <xdr:rowOff>166687</xdr:rowOff>
    </xdr:to>
    <xdr:graphicFrame macro="">
      <xdr:nvGraphicFramePr>
        <xdr:cNvPr id="5" name="Chart 4">
          <a:extLst>
            <a:ext uri="{FF2B5EF4-FFF2-40B4-BE49-F238E27FC236}">
              <a16:creationId xmlns:a16="http://schemas.microsoft.com/office/drawing/2014/main" id="{4C48A709-9378-612E-31BE-E42C5C106B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1152524</xdr:colOff>
      <xdr:row>64</xdr:row>
      <xdr:rowOff>180975</xdr:rowOff>
    </xdr:from>
    <xdr:to>
      <xdr:col>15</xdr:col>
      <xdr:colOff>76200</xdr:colOff>
      <xdr:row>85</xdr:row>
      <xdr:rowOff>28575</xdr:rowOff>
    </xdr:to>
    <xdr:graphicFrame macro="">
      <xdr:nvGraphicFramePr>
        <xdr:cNvPr id="6" name="Chart 5">
          <a:extLst>
            <a:ext uri="{FF2B5EF4-FFF2-40B4-BE49-F238E27FC236}">
              <a16:creationId xmlns:a16="http://schemas.microsoft.com/office/drawing/2014/main" id="{190D6FF8-3EC4-0926-334A-3D87E1666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266700</xdr:colOff>
      <xdr:row>2</xdr:row>
      <xdr:rowOff>114300</xdr:rowOff>
    </xdr:from>
    <xdr:to>
      <xdr:col>14</xdr:col>
      <xdr:colOff>266700</xdr:colOff>
      <xdr:row>9</xdr:row>
      <xdr:rowOff>28575</xdr:rowOff>
    </xdr:to>
    <mc:AlternateContent xmlns:mc="http://schemas.openxmlformats.org/markup-compatibility/2006">
      <mc:Choice xmlns:a14="http://schemas.microsoft.com/office/drawing/2010/main" Requires="a14">
        <xdr:graphicFrame macro="">
          <xdr:nvGraphicFramePr>
            <xdr:cNvPr id="7" name="Age_Group">
              <a:extLst>
                <a:ext uri="{FF2B5EF4-FFF2-40B4-BE49-F238E27FC236}">
                  <a16:creationId xmlns:a16="http://schemas.microsoft.com/office/drawing/2014/main" id="{0BF2BFCD-63C4-6BFA-6AB3-7FFAAA63BE72}"/>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9201150" y="495300"/>
              <a:ext cx="1828800"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457200</xdr:colOff>
      <xdr:row>2</xdr:row>
      <xdr:rowOff>114301</xdr:rowOff>
    </xdr:from>
    <xdr:to>
      <xdr:col>17</xdr:col>
      <xdr:colOff>457200</xdr:colOff>
      <xdr:row>10</xdr:row>
      <xdr:rowOff>19051</xdr:rowOff>
    </xdr:to>
    <mc:AlternateContent xmlns:mc="http://schemas.openxmlformats.org/markup-compatibility/2006">
      <mc:Choice xmlns:a14="http://schemas.microsoft.com/office/drawing/2010/main" Requires="a14">
        <xdr:graphicFrame macro="">
          <xdr:nvGraphicFramePr>
            <xdr:cNvPr id="8" name="Quality_of_Sleep_Range">
              <a:extLst>
                <a:ext uri="{FF2B5EF4-FFF2-40B4-BE49-F238E27FC236}">
                  <a16:creationId xmlns:a16="http://schemas.microsoft.com/office/drawing/2014/main" id="{F9FE116D-A458-2EE6-7715-971E38D253E3}"/>
                </a:ext>
              </a:extLst>
            </xdr:cNvPr>
            <xdr:cNvGraphicFramePr/>
          </xdr:nvGraphicFramePr>
          <xdr:xfrm>
            <a:off x="0" y="0"/>
            <a:ext cx="0" cy="0"/>
          </xdr:xfrm>
          <a:graphic>
            <a:graphicData uri="http://schemas.microsoft.com/office/drawing/2010/slicer">
              <sle:slicer xmlns:sle="http://schemas.microsoft.com/office/drawing/2010/slicer" name="Quality_of_Sleep_Range"/>
            </a:graphicData>
          </a:graphic>
        </xdr:graphicFrame>
      </mc:Choice>
      <mc:Fallback>
        <xdr:sp macro="" textlink="">
          <xdr:nvSpPr>
            <xdr:cNvPr id="0" name=""/>
            <xdr:cNvSpPr>
              <a:spLocks noTextEdit="1"/>
            </xdr:cNvSpPr>
          </xdr:nvSpPr>
          <xdr:spPr>
            <a:xfrm>
              <a:off x="11220450" y="495301"/>
              <a:ext cx="18288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285750</xdr:colOff>
      <xdr:row>16</xdr:row>
      <xdr:rowOff>66676</xdr:rowOff>
    </xdr:from>
    <xdr:to>
      <xdr:col>14</xdr:col>
      <xdr:colOff>285750</xdr:colOff>
      <xdr:row>25</xdr:row>
      <xdr:rowOff>123826</xdr:rowOff>
    </xdr:to>
    <mc:AlternateContent xmlns:mc="http://schemas.openxmlformats.org/markup-compatibility/2006">
      <mc:Choice xmlns:a14="http://schemas.microsoft.com/office/drawing/2010/main" Requires="a14">
        <xdr:graphicFrame macro="">
          <xdr:nvGraphicFramePr>
            <xdr:cNvPr id="9" name="Physical_Activity_Level_Range">
              <a:extLst>
                <a:ext uri="{FF2B5EF4-FFF2-40B4-BE49-F238E27FC236}">
                  <a16:creationId xmlns:a16="http://schemas.microsoft.com/office/drawing/2014/main" id="{88D4294F-076E-B163-386D-D1FE66B6852E}"/>
                </a:ext>
              </a:extLst>
            </xdr:cNvPr>
            <xdr:cNvGraphicFramePr/>
          </xdr:nvGraphicFramePr>
          <xdr:xfrm>
            <a:off x="0" y="0"/>
            <a:ext cx="0" cy="0"/>
          </xdr:xfrm>
          <a:graphic>
            <a:graphicData uri="http://schemas.microsoft.com/office/drawing/2010/slicer">
              <sle:slicer xmlns:sle="http://schemas.microsoft.com/office/drawing/2010/slicer" name="Physical_Activity_Level_Range"/>
            </a:graphicData>
          </a:graphic>
        </xdr:graphicFrame>
      </mc:Choice>
      <mc:Fallback>
        <xdr:sp macro="" textlink="">
          <xdr:nvSpPr>
            <xdr:cNvPr id="0" name=""/>
            <xdr:cNvSpPr>
              <a:spLocks noTextEdit="1"/>
            </xdr:cNvSpPr>
          </xdr:nvSpPr>
          <xdr:spPr>
            <a:xfrm>
              <a:off x="9220200" y="3114676"/>
              <a:ext cx="1828800"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495300</xdr:colOff>
      <xdr:row>16</xdr:row>
      <xdr:rowOff>133350</xdr:rowOff>
    </xdr:from>
    <xdr:to>
      <xdr:col>17</xdr:col>
      <xdr:colOff>495300</xdr:colOff>
      <xdr:row>23</xdr:row>
      <xdr:rowOff>9525</xdr:rowOff>
    </xdr:to>
    <mc:AlternateContent xmlns:mc="http://schemas.openxmlformats.org/markup-compatibility/2006">
      <mc:Choice xmlns:a14="http://schemas.microsoft.com/office/drawing/2010/main" Requires="a14">
        <xdr:graphicFrame macro="">
          <xdr:nvGraphicFramePr>
            <xdr:cNvPr id="10" name="Stress_Level_Range">
              <a:extLst>
                <a:ext uri="{FF2B5EF4-FFF2-40B4-BE49-F238E27FC236}">
                  <a16:creationId xmlns:a16="http://schemas.microsoft.com/office/drawing/2014/main" id="{6B157132-317C-21AA-9E46-C34C264D7CD8}"/>
                </a:ext>
              </a:extLst>
            </xdr:cNvPr>
            <xdr:cNvGraphicFramePr/>
          </xdr:nvGraphicFramePr>
          <xdr:xfrm>
            <a:off x="0" y="0"/>
            <a:ext cx="0" cy="0"/>
          </xdr:xfrm>
          <a:graphic>
            <a:graphicData uri="http://schemas.microsoft.com/office/drawing/2010/slicer">
              <sle:slicer xmlns:sle="http://schemas.microsoft.com/office/drawing/2010/slicer" name="Stress_Level_Range"/>
            </a:graphicData>
          </a:graphic>
        </xdr:graphicFrame>
      </mc:Choice>
      <mc:Fallback>
        <xdr:sp macro="" textlink="">
          <xdr:nvSpPr>
            <xdr:cNvPr id="0" name=""/>
            <xdr:cNvSpPr>
              <a:spLocks noTextEdit="1"/>
            </xdr:cNvSpPr>
          </xdr:nvSpPr>
          <xdr:spPr>
            <a:xfrm>
              <a:off x="11258550" y="3181350"/>
              <a:ext cx="1828800"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257175</xdr:colOff>
      <xdr:row>26</xdr:row>
      <xdr:rowOff>114300</xdr:rowOff>
    </xdr:from>
    <xdr:to>
      <xdr:col>14</xdr:col>
      <xdr:colOff>257175</xdr:colOff>
      <xdr:row>34</xdr:row>
      <xdr:rowOff>104775</xdr:rowOff>
    </xdr:to>
    <mc:AlternateContent xmlns:mc="http://schemas.openxmlformats.org/markup-compatibility/2006">
      <mc:Choice xmlns:a14="http://schemas.microsoft.com/office/drawing/2010/main" Requires="a14">
        <xdr:graphicFrame macro="">
          <xdr:nvGraphicFramePr>
            <xdr:cNvPr id="11" name="Blood_Pressure_Range">
              <a:extLst>
                <a:ext uri="{FF2B5EF4-FFF2-40B4-BE49-F238E27FC236}">
                  <a16:creationId xmlns:a16="http://schemas.microsoft.com/office/drawing/2014/main" id="{FF13D5CF-C117-9824-74F1-970F3DEB6F2A}"/>
                </a:ext>
              </a:extLst>
            </xdr:cNvPr>
            <xdr:cNvGraphicFramePr/>
          </xdr:nvGraphicFramePr>
          <xdr:xfrm>
            <a:off x="0" y="0"/>
            <a:ext cx="0" cy="0"/>
          </xdr:xfrm>
          <a:graphic>
            <a:graphicData uri="http://schemas.microsoft.com/office/drawing/2010/slicer">
              <sle:slicer xmlns:sle="http://schemas.microsoft.com/office/drawing/2010/slicer" name="Blood_Pressure_Range"/>
            </a:graphicData>
          </a:graphic>
        </xdr:graphicFrame>
      </mc:Choice>
      <mc:Fallback>
        <xdr:sp macro="" textlink="">
          <xdr:nvSpPr>
            <xdr:cNvPr id="0" name=""/>
            <xdr:cNvSpPr>
              <a:spLocks noTextEdit="1"/>
            </xdr:cNvSpPr>
          </xdr:nvSpPr>
          <xdr:spPr>
            <a:xfrm>
              <a:off x="9191625" y="5067300"/>
              <a:ext cx="1828800"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495300</xdr:colOff>
      <xdr:row>26</xdr:row>
      <xdr:rowOff>133351</xdr:rowOff>
    </xdr:from>
    <xdr:to>
      <xdr:col>17</xdr:col>
      <xdr:colOff>495300</xdr:colOff>
      <xdr:row>34</xdr:row>
      <xdr:rowOff>114301</xdr:rowOff>
    </xdr:to>
    <mc:AlternateContent xmlns:mc="http://schemas.openxmlformats.org/markup-compatibility/2006">
      <mc:Choice xmlns:a14="http://schemas.microsoft.com/office/drawing/2010/main" Requires="a14">
        <xdr:graphicFrame macro="">
          <xdr:nvGraphicFramePr>
            <xdr:cNvPr id="12" name="Heart_Rate_Range">
              <a:extLst>
                <a:ext uri="{FF2B5EF4-FFF2-40B4-BE49-F238E27FC236}">
                  <a16:creationId xmlns:a16="http://schemas.microsoft.com/office/drawing/2014/main" id="{7CD7A846-70DC-76C2-3B23-97E287702ED3}"/>
                </a:ext>
              </a:extLst>
            </xdr:cNvPr>
            <xdr:cNvGraphicFramePr/>
          </xdr:nvGraphicFramePr>
          <xdr:xfrm>
            <a:off x="0" y="0"/>
            <a:ext cx="0" cy="0"/>
          </xdr:xfrm>
          <a:graphic>
            <a:graphicData uri="http://schemas.microsoft.com/office/drawing/2010/slicer">
              <sle:slicer xmlns:sle="http://schemas.microsoft.com/office/drawing/2010/slicer" name="Heart_Rate_Range"/>
            </a:graphicData>
          </a:graphic>
        </xdr:graphicFrame>
      </mc:Choice>
      <mc:Fallback>
        <xdr:sp macro="" textlink="">
          <xdr:nvSpPr>
            <xdr:cNvPr id="0" name=""/>
            <xdr:cNvSpPr>
              <a:spLocks noTextEdit="1"/>
            </xdr:cNvSpPr>
          </xdr:nvSpPr>
          <xdr:spPr>
            <a:xfrm>
              <a:off x="11258550" y="5086351"/>
              <a:ext cx="1828800"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15</xdr:row>
      <xdr:rowOff>114301</xdr:rowOff>
    </xdr:from>
    <xdr:to>
      <xdr:col>21</xdr:col>
      <xdr:colOff>381000</xdr:colOff>
      <xdr:row>23</xdr:row>
      <xdr:rowOff>38100</xdr:rowOff>
    </xdr:to>
    <mc:AlternateContent xmlns:mc="http://schemas.openxmlformats.org/markup-compatibility/2006">
      <mc:Choice xmlns:a14="http://schemas.microsoft.com/office/drawing/2010/main" Requires="a14">
        <xdr:graphicFrame macro="">
          <xdr:nvGraphicFramePr>
            <xdr:cNvPr id="13" name="Daily_Steps_Range">
              <a:extLst>
                <a:ext uri="{FF2B5EF4-FFF2-40B4-BE49-F238E27FC236}">
                  <a16:creationId xmlns:a16="http://schemas.microsoft.com/office/drawing/2014/main" id="{E69CBDCD-A9CC-8560-5047-09C01B0BD1AF}"/>
                </a:ext>
              </a:extLst>
            </xdr:cNvPr>
            <xdr:cNvGraphicFramePr/>
          </xdr:nvGraphicFramePr>
          <xdr:xfrm>
            <a:off x="0" y="0"/>
            <a:ext cx="0" cy="0"/>
          </xdr:xfrm>
          <a:graphic>
            <a:graphicData uri="http://schemas.microsoft.com/office/drawing/2010/slicer">
              <sle:slicer xmlns:sle="http://schemas.microsoft.com/office/drawing/2010/slicer" name="Daily_Steps_Range"/>
            </a:graphicData>
          </a:graphic>
        </xdr:graphicFrame>
      </mc:Choice>
      <mc:Fallback>
        <xdr:sp macro="" textlink="">
          <xdr:nvSpPr>
            <xdr:cNvPr id="0" name=""/>
            <xdr:cNvSpPr>
              <a:spLocks noTextEdit="1"/>
            </xdr:cNvSpPr>
          </xdr:nvSpPr>
          <xdr:spPr>
            <a:xfrm>
              <a:off x="13582650" y="2971801"/>
              <a:ext cx="1828800" cy="1447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19051</xdr:colOff>
      <xdr:row>4</xdr:row>
      <xdr:rowOff>171450</xdr:rowOff>
    </xdr:from>
    <xdr:to>
      <xdr:col>10</xdr:col>
      <xdr:colOff>304800</xdr:colOff>
      <xdr:row>19</xdr:row>
      <xdr:rowOff>57150</xdr:rowOff>
    </xdr:to>
    <xdr:graphicFrame macro="">
      <xdr:nvGraphicFramePr>
        <xdr:cNvPr id="2" name="Chart 1">
          <a:extLst>
            <a:ext uri="{FF2B5EF4-FFF2-40B4-BE49-F238E27FC236}">
              <a16:creationId xmlns:a16="http://schemas.microsoft.com/office/drawing/2014/main" id="{C6A5B00E-71AE-4B9C-A34B-B7059A318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371476</xdr:colOff>
      <xdr:row>4</xdr:row>
      <xdr:rowOff>161925</xdr:rowOff>
    </xdr:from>
    <xdr:to>
      <xdr:col>20</xdr:col>
      <xdr:colOff>381000</xdr:colOff>
      <xdr:row>19</xdr:row>
      <xdr:rowOff>47625</xdr:rowOff>
    </xdr:to>
    <xdr:graphicFrame macro="">
      <xdr:nvGraphicFramePr>
        <xdr:cNvPr id="3" name="Chart 2">
          <a:extLst>
            <a:ext uri="{FF2B5EF4-FFF2-40B4-BE49-F238E27FC236}">
              <a16:creationId xmlns:a16="http://schemas.microsoft.com/office/drawing/2014/main" id="{31D63240-1570-4DEC-9DC4-B46F639A9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66676</xdr:colOff>
      <xdr:row>40</xdr:row>
      <xdr:rowOff>161925</xdr:rowOff>
    </xdr:from>
    <xdr:to>
      <xdr:col>10</xdr:col>
      <xdr:colOff>371476</xdr:colOff>
      <xdr:row>57</xdr:row>
      <xdr:rowOff>104775</xdr:rowOff>
    </xdr:to>
    <xdr:graphicFrame macro="">
      <xdr:nvGraphicFramePr>
        <xdr:cNvPr id="4" name="Chart 3">
          <a:extLst>
            <a:ext uri="{FF2B5EF4-FFF2-40B4-BE49-F238E27FC236}">
              <a16:creationId xmlns:a16="http://schemas.microsoft.com/office/drawing/2014/main" id="{7A87BDDC-26BE-4ACA-B154-4C6AA5241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466726</xdr:colOff>
      <xdr:row>40</xdr:row>
      <xdr:rowOff>180976</xdr:rowOff>
    </xdr:from>
    <xdr:to>
      <xdr:col>20</xdr:col>
      <xdr:colOff>342900</xdr:colOff>
      <xdr:row>57</xdr:row>
      <xdr:rowOff>114300</xdr:rowOff>
    </xdr:to>
    <xdr:graphicFrame macro="">
      <xdr:nvGraphicFramePr>
        <xdr:cNvPr id="5" name="Chart 4">
          <a:extLst>
            <a:ext uri="{FF2B5EF4-FFF2-40B4-BE49-F238E27FC236}">
              <a16:creationId xmlns:a16="http://schemas.microsoft.com/office/drawing/2014/main" id="{3BD792C5-D460-4A49-A3C7-3620F17E5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9524</xdr:colOff>
      <xdr:row>19</xdr:row>
      <xdr:rowOff>171450</xdr:rowOff>
    </xdr:from>
    <xdr:to>
      <xdr:col>20</xdr:col>
      <xdr:colOff>342899</xdr:colOff>
      <xdr:row>40</xdr:row>
      <xdr:rowOff>61913</xdr:rowOff>
    </xdr:to>
    <xdr:graphicFrame macro="">
      <xdr:nvGraphicFramePr>
        <xdr:cNvPr id="6" name="Chart 5">
          <a:extLst>
            <a:ext uri="{FF2B5EF4-FFF2-40B4-BE49-F238E27FC236}">
              <a16:creationId xmlns:a16="http://schemas.microsoft.com/office/drawing/2014/main" id="{3A9C49D3-D801-4C05-881D-C898762D6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4</xdr:row>
      <xdr:rowOff>147638</xdr:rowOff>
    </xdr:from>
    <xdr:to>
      <xdr:col>3</xdr:col>
      <xdr:colOff>0</xdr:colOff>
      <xdr:row>11</xdr:row>
      <xdr:rowOff>61913</xdr:rowOff>
    </xdr:to>
    <mc:AlternateContent xmlns:mc="http://schemas.openxmlformats.org/markup-compatibility/2006">
      <mc:Choice xmlns:a14="http://schemas.microsoft.com/office/drawing/2010/main" Requires="a14">
        <xdr:graphicFrame macro="">
          <xdr:nvGraphicFramePr>
            <xdr:cNvPr id="7" name="Age_Group 1">
              <a:extLst>
                <a:ext uri="{FF2B5EF4-FFF2-40B4-BE49-F238E27FC236}">
                  <a16:creationId xmlns:a16="http://schemas.microsoft.com/office/drawing/2014/main" id="{1E571C45-EEB7-44AB-B105-E7829E341C3A}"/>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dr:sp macro="" textlink="">
          <xdr:nvSpPr>
            <xdr:cNvPr id="0" name=""/>
            <xdr:cNvSpPr>
              <a:spLocks noTextEdit="1"/>
            </xdr:cNvSpPr>
          </xdr:nvSpPr>
          <xdr:spPr>
            <a:xfrm>
              <a:off x="0" y="909638"/>
              <a:ext cx="1815353"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80964</xdr:rowOff>
    </xdr:from>
    <xdr:to>
      <xdr:col>3</xdr:col>
      <xdr:colOff>0</xdr:colOff>
      <xdr:row>18</xdr:row>
      <xdr:rowOff>176214</xdr:rowOff>
    </xdr:to>
    <mc:AlternateContent xmlns:mc="http://schemas.openxmlformats.org/markup-compatibility/2006">
      <mc:Choice xmlns:a14="http://schemas.microsoft.com/office/drawing/2010/main" Requires="a14">
        <xdr:graphicFrame macro="">
          <xdr:nvGraphicFramePr>
            <xdr:cNvPr id="8" name="Quality_of_Sleep_Range 1">
              <a:extLst>
                <a:ext uri="{FF2B5EF4-FFF2-40B4-BE49-F238E27FC236}">
                  <a16:creationId xmlns:a16="http://schemas.microsoft.com/office/drawing/2014/main" id="{15E0C60B-D4CB-43E5-B923-E658390CBF5D}"/>
                </a:ext>
              </a:extLst>
            </xdr:cNvPr>
            <xdr:cNvGraphicFramePr/>
          </xdr:nvGraphicFramePr>
          <xdr:xfrm>
            <a:off x="0" y="0"/>
            <a:ext cx="0" cy="0"/>
          </xdr:xfrm>
          <a:graphic>
            <a:graphicData uri="http://schemas.microsoft.com/office/drawing/2010/slicer">
              <sle:slicer xmlns:sle="http://schemas.microsoft.com/office/drawing/2010/slicer" name="Quality_of_Sleep_Range 1"/>
            </a:graphicData>
          </a:graphic>
        </xdr:graphicFrame>
      </mc:Choice>
      <mc:Fallback>
        <xdr:sp macro="" textlink="">
          <xdr:nvSpPr>
            <xdr:cNvPr id="0" name=""/>
            <xdr:cNvSpPr>
              <a:spLocks noTextEdit="1"/>
            </xdr:cNvSpPr>
          </xdr:nvSpPr>
          <xdr:spPr>
            <a:xfrm>
              <a:off x="0" y="2176464"/>
              <a:ext cx="1815353"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0</xdr:rowOff>
    </xdr:from>
    <xdr:to>
      <xdr:col>3</xdr:col>
      <xdr:colOff>0</xdr:colOff>
      <xdr:row>28</xdr:row>
      <xdr:rowOff>57150</xdr:rowOff>
    </xdr:to>
    <mc:AlternateContent xmlns:mc="http://schemas.openxmlformats.org/markup-compatibility/2006">
      <mc:Choice xmlns:a14="http://schemas.microsoft.com/office/drawing/2010/main" Requires="a14">
        <xdr:graphicFrame macro="">
          <xdr:nvGraphicFramePr>
            <xdr:cNvPr id="9" name="Physical_Activity_Level_Range 1">
              <a:extLst>
                <a:ext uri="{FF2B5EF4-FFF2-40B4-BE49-F238E27FC236}">
                  <a16:creationId xmlns:a16="http://schemas.microsoft.com/office/drawing/2014/main" id="{231F8D1F-D428-4F28-8991-3B66A30940A3}"/>
                </a:ext>
              </a:extLst>
            </xdr:cNvPr>
            <xdr:cNvGraphicFramePr/>
          </xdr:nvGraphicFramePr>
          <xdr:xfrm>
            <a:off x="0" y="0"/>
            <a:ext cx="0" cy="0"/>
          </xdr:xfrm>
          <a:graphic>
            <a:graphicData uri="http://schemas.microsoft.com/office/drawing/2010/slicer">
              <sle:slicer xmlns:sle="http://schemas.microsoft.com/office/drawing/2010/slicer" name="Physical_Activity_Level_Range 1"/>
            </a:graphicData>
          </a:graphic>
        </xdr:graphicFrame>
      </mc:Choice>
      <mc:Fallback>
        <xdr:sp macro="" textlink="">
          <xdr:nvSpPr>
            <xdr:cNvPr id="0" name=""/>
            <xdr:cNvSpPr>
              <a:spLocks noTextEdit="1"/>
            </xdr:cNvSpPr>
          </xdr:nvSpPr>
          <xdr:spPr>
            <a:xfrm>
              <a:off x="0" y="3619500"/>
              <a:ext cx="1815353"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71438</xdr:rowOff>
    </xdr:from>
    <xdr:to>
      <xdr:col>3</xdr:col>
      <xdr:colOff>0</xdr:colOff>
      <xdr:row>34</xdr:row>
      <xdr:rowOff>138113</xdr:rowOff>
    </xdr:to>
    <mc:AlternateContent xmlns:mc="http://schemas.openxmlformats.org/markup-compatibility/2006">
      <mc:Choice xmlns:a14="http://schemas.microsoft.com/office/drawing/2010/main" Requires="a14">
        <xdr:graphicFrame macro="">
          <xdr:nvGraphicFramePr>
            <xdr:cNvPr id="10" name="Stress_Level_Range 1">
              <a:extLst>
                <a:ext uri="{FF2B5EF4-FFF2-40B4-BE49-F238E27FC236}">
                  <a16:creationId xmlns:a16="http://schemas.microsoft.com/office/drawing/2014/main" id="{5A16B0E0-C0CE-4A8F-8B9C-6638FD37A540}"/>
                </a:ext>
              </a:extLst>
            </xdr:cNvPr>
            <xdr:cNvGraphicFramePr/>
          </xdr:nvGraphicFramePr>
          <xdr:xfrm>
            <a:off x="0" y="0"/>
            <a:ext cx="0" cy="0"/>
          </xdr:xfrm>
          <a:graphic>
            <a:graphicData uri="http://schemas.microsoft.com/office/drawing/2010/slicer">
              <sle:slicer xmlns:sle="http://schemas.microsoft.com/office/drawing/2010/slicer" name="Stress_Level_Range 1"/>
            </a:graphicData>
          </a:graphic>
        </xdr:graphicFrame>
      </mc:Choice>
      <mc:Fallback>
        <xdr:sp macro="" textlink="">
          <xdr:nvSpPr>
            <xdr:cNvPr id="0" name=""/>
            <xdr:cNvSpPr>
              <a:spLocks noTextEdit="1"/>
            </xdr:cNvSpPr>
          </xdr:nvSpPr>
          <xdr:spPr>
            <a:xfrm>
              <a:off x="0" y="5405438"/>
              <a:ext cx="1815353"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34</xdr:row>
      <xdr:rowOff>147638</xdr:rowOff>
    </xdr:from>
    <xdr:to>
      <xdr:col>3</xdr:col>
      <xdr:colOff>0</xdr:colOff>
      <xdr:row>42</xdr:row>
      <xdr:rowOff>138113</xdr:rowOff>
    </xdr:to>
    <mc:AlternateContent xmlns:mc="http://schemas.openxmlformats.org/markup-compatibility/2006">
      <mc:Choice xmlns:a14="http://schemas.microsoft.com/office/drawing/2010/main" Requires="a14">
        <xdr:graphicFrame macro="">
          <xdr:nvGraphicFramePr>
            <xdr:cNvPr id="11" name="Blood_Pressure_Range 1">
              <a:extLst>
                <a:ext uri="{FF2B5EF4-FFF2-40B4-BE49-F238E27FC236}">
                  <a16:creationId xmlns:a16="http://schemas.microsoft.com/office/drawing/2014/main" id="{F50AEF3D-C83A-4753-9D3F-9C75071558F7}"/>
                </a:ext>
              </a:extLst>
            </xdr:cNvPr>
            <xdr:cNvGraphicFramePr/>
          </xdr:nvGraphicFramePr>
          <xdr:xfrm>
            <a:off x="0" y="0"/>
            <a:ext cx="0" cy="0"/>
          </xdr:xfrm>
          <a:graphic>
            <a:graphicData uri="http://schemas.microsoft.com/office/drawing/2010/slicer">
              <sle:slicer xmlns:sle="http://schemas.microsoft.com/office/drawing/2010/slicer" name="Blood_Pressure_Range 1"/>
            </a:graphicData>
          </a:graphic>
        </xdr:graphicFrame>
      </mc:Choice>
      <mc:Fallback>
        <xdr:sp macro="" textlink="">
          <xdr:nvSpPr>
            <xdr:cNvPr id="0" name=""/>
            <xdr:cNvSpPr>
              <a:spLocks noTextEdit="1"/>
            </xdr:cNvSpPr>
          </xdr:nvSpPr>
          <xdr:spPr>
            <a:xfrm>
              <a:off x="0" y="6624638"/>
              <a:ext cx="1815353"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41</xdr:row>
      <xdr:rowOff>176214</xdr:rowOff>
    </xdr:from>
    <xdr:to>
      <xdr:col>3</xdr:col>
      <xdr:colOff>0</xdr:colOff>
      <xdr:row>49</xdr:row>
      <xdr:rowOff>157164</xdr:rowOff>
    </xdr:to>
    <mc:AlternateContent xmlns:mc="http://schemas.openxmlformats.org/markup-compatibility/2006">
      <mc:Choice xmlns:a14="http://schemas.microsoft.com/office/drawing/2010/main" Requires="a14">
        <xdr:graphicFrame macro="">
          <xdr:nvGraphicFramePr>
            <xdr:cNvPr id="12" name="Heart_Rate_Range 1">
              <a:extLst>
                <a:ext uri="{FF2B5EF4-FFF2-40B4-BE49-F238E27FC236}">
                  <a16:creationId xmlns:a16="http://schemas.microsoft.com/office/drawing/2014/main" id="{F0CDD4E2-1F19-4FF5-B26F-D025402AC4DD}"/>
                </a:ext>
              </a:extLst>
            </xdr:cNvPr>
            <xdr:cNvGraphicFramePr/>
          </xdr:nvGraphicFramePr>
          <xdr:xfrm>
            <a:off x="0" y="0"/>
            <a:ext cx="0" cy="0"/>
          </xdr:xfrm>
          <a:graphic>
            <a:graphicData uri="http://schemas.microsoft.com/office/drawing/2010/slicer">
              <sle:slicer xmlns:sle="http://schemas.microsoft.com/office/drawing/2010/slicer" name="Heart_Rate_Range 1"/>
            </a:graphicData>
          </a:graphic>
        </xdr:graphicFrame>
      </mc:Choice>
      <mc:Fallback>
        <xdr:sp macro="" textlink="">
          <xdr:nvSpPr>
            <xdr:cNvPr id="0" name=""/>
            <xdr:cNvSpPr>
              <a:spLocks noTextEdit="1"/>
            </xdr:cNvSpPr>
          </xdr:nvSpPr>
          <xdr:spPr>
            <a:xfrm>
              <a:off x="0" y="7986714"/>
              <a:ext cx="1815353"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49</xdr:row>
      <xdr:rowOff>166689</xdr:rowOff>
    </xdr:from>
    <xdr:to>
      <xdr:col>3</xdr:col>
      <xdr:colOff>0</xdr:colOff>
      <xdr:row>57</xdr:row>
      <xdr:rowOff>90488</xdr:rowOff>
    </xdr:to>
    <mc:AlternateContent xmlns:mc="http://schemas.openxmlformats.org/markup-compatibility/2006">
      <mc:Choice xmlns:a14="http://schemas.microsoft.com/office/drawing/2010/main" Requires="a14">
        <xdr:graphicFrame macro="">
          <xdr:nvGraphicFramePr>
            <xdr:cNvPr id="13" name="Daily_Steps_Range 1">
              <a:extLst>
                <a:ext uri="{FF2B5EF4-FFF2-40B4-BE49-F238E27FC236}">
                  <a16:creationId xmlns:a16="http://schemas.microsoft.com/office/drawing/2014/main" id="{E3C062A2-1439-45D1-B542-7D1753A2DE92}"/>
                </a:ext>
              </a:extLst>
            </xdr:cNvPr>
            <xdr:cNvGraphicFramePr/>
          </xdr:nvGraphicFramePr>
          <xdr:xfrm>
            <a:off x="0" y="0"/>
            <a:ext cx="0" cy="0"/>
          </xdr:xfrm>
          <a:graphic>
            <a:graphicData uri="http://schemas.microsoft.com/office/drawing/2010/slicer">
              <sle:slicer xmlns:sle="http://schemas.microsoft.com/office/drawing/2010/slicer" name="Daily_Steps_Range 1"/>
            </a:graphicData>
          </a:graphic>
        </xdr:graphicFrame>
      </mc:Choice>
      <mc:Fallback>
        <xdr:sp macro="" textlink="">
          <xdr:nvSpPr>
            <xdr:cNvPr id="0" name=""/>
            <xdr:cNvSpPr>
              <a:spLocks noTextEdit="1"/>
            </xdr:cNvSpPr>
          </xdr:nvSpPr>
          <xdr:spPr>
            <a:xfrm>
              <a:off x="0" y="9501189"/>
              <a:ext cx="1815353" cy="1447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1</xdr:rowOff>
    </xdr:from>
    <xdr:to>
      <xdr:col>20</xdr:col>
      <xdr:colOff>419100</xdr:colOff>
      <xdr:row>4</xdr:row>
      <xdr:rowOff>152401</xdr:rowOff>
    </xdr:to>
    <xdr:sp macro="" textlink="">
      <xdr:nvSpPr>
        <xdr:cNvPr id="14" name="Rectangle: Rounded Corners 13">
          <a:extLst>
            <a:ext uri="{FF2B5EF4-FFF2-40B4-BE49-F238E27FC236}">
              <a16:creationId xmlns:a16="http://schemas.microsoft.com/office/drawing/2014/main" id="{748F7E09-476D-4355-949F-B66C53F6712B}"/>
            </a:ext>
          </a:extLst>
        </xdr:cNvPr>
        <xdr:cNvSpPr/>
      </xdr:nvSpPr>
      <xdr:spPr>
        <a:xfrm>
          <a:off x="0" y="1"/>
          <a:ext cx="12611100" cy="914400"/>
        </a:xfrm>
        <a:prstGeom prst="roundRect">
          <a:avLst/>
        </a:prstGeom>
        <a:solidFill>
          <a:srgbClr val="FDDB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b="1">
              <a:solidFill>
                <a:schemeClr val="tx1"/>
              </a:solidFill>
              <a:latin typeface="Aptos" panose="020B0004020202020204" pitchFamily="34" charset="0"/>
            </a:rPr>
            <a:t>SLEEP</a:t>
          </a:r>
          <a:r>
            <a:rPr lang="en-US" sz="4800" b="1" baseline="0">
              <a:solidFill>
                <a:schemeClr val="tx1"/>
              </a:solidFill>
              <a:latin typeface="Aptos" panose="020B0004020202020204" pitchFamily="34" charset="0"/>
            </a:rPr>
            <a:t> HEALTH AND LIFESTYLE DASHBOARD</a:t>
          </a:r>
          <a:endParaRPr lang="en-US" sz="4800" b="1">
            <a:solidFill>
              <a:schemeClr val="tx1"/>
            </a:solidFill>
            <a:latin typeface="Aptos" panose="020B0004020202020204" pitchFamily="34" charset="0"/>
          </a:endParaRPr>
        </a:p>
      </xdr:txBody>
    </xdr:sp>
    <xdr:clientData/>
  </xdr:twoCellAnchor>
  <xdr:twoCellAnchor>
    <xdr:from>
      <xdr:col>20</xdr:col>
      <xdr:colOff>504265</xdr:colOff>
      <xdr:row>1</xdr:row>
      <xdr:rowOff>161925</xdr:rowOff>
    </xdr:from>
    <xdr:to>
      <xdr:col>23</xdr:col>
      <xdr:colOff>476251</xdr:colOff>
      <xdr:row>4</xdr:row>
      <xdr:rowOff>133350</xdr:rowOff>
    </xdr:to>
    <xdr:sp macro="" textlink="'Pivot Table'!B11">
      <xdr:nvSpPr>
        <xdr:cNvPr id="16" name="Rectangle 15">
          <a:extLst>
            <a:ext uri="{FF2B5EF4-FFF2-40B4-BE49-F238E27FC236}">
              <a16:creationId xmlns:a16="http://schemas.microsoft.com/office/drawing/2014/main" id="{03A825AF-07E0-8C96-A389-E5209E5CD6C1}"/>
            </a:ext>
          </a:extLst>
        </xdr:cNvPr>
        <xdr:cNvSpPr/>
      </xdr:nvSpPr>
      <xdr:spPr>
        <a:xfrm>
          <a:off x="12718677" y="352425"/>
          <a:ext cx="1804148" cy="542925"/>
        </a:xfrm>
        <a:prstGeom prst="rect">
          <a:avLst/>
        </a:prstGeom>
        <a:solidFill>
          <a:srgbClr val="FDDB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532BD36-E84E-4D68-AA92-EC008FE0928B}" type="TxLink">
            <a:rPr lang="en-US" sz="2800" b="1" i="0" u="none" strike="noStrike">
              <a:solidFill>
                <a:srgbClr val="000000"/>
              </a:solidFill>
              <a:latin typeface="Calibri"/>
              <a:cs typeface="Calibri"/>
            </a:rPr>
            <a:t>374</a:t>
          </a:fld>
          <a:endParaRPr lang="en-US" sz="2800" b="1">
            <a:solidFill>
              <a:schemeClr val="tx1"/>
            </a:solidFill>
          </a:endParaRPr>
        </a:p>
      </xdr:txBody>
    </xdr:sp>
    <xdr:clientData/>
  </xdr:twoCellAnchor>
  <xdr:twoCellAnchor>
    <xdr:from>
      <xdr:col>20</xdr:col>
      <xdr:colOff>504825</xdr:colOff>
      <xdr:row>0</xdr:row>
      <xdr:rowOff>19050</xdr:rowOff>
    </xdr:from>
    <xdr:to>
      <xdr:col>23</xdr:col>
      <xdr:colOff>476250</xdr:colOff>
      <xdr:row>2</xdr:row>
      <xdr:rowOff>0</xdr:rowOff>
    </xdr:to>
    <xdr:sp macro="" textlink="">
      <xdr:nvSpPr>
        <xdr:cNvPr id="20" name="Rectangle 19">
          <a:extLst>
            <a:ext uri="{FF2B5EF4-FFF2-40B4-BE49-F238E27FC236}">
              <a16:creationId xmlns:a16="http://schemas.microsoft.com/office/drawing/2014/main" id="{704E7A13-C347-87BB-1CED-1DDFA0924917}"/>
            </a:ext>
          </a:extLst>
        </xdr:cNvPr>
        <xdr:cNvSpPr/>
      </xdr:nvSpPr>
      <xdr:spPr>
        <a:xfrm>
          <a:off x="12696825" y="19050"/>
          <a:ext cx="1800225" cy="361950"/>
        </a:xfrm>
        <a:prstGeom prst="rect">
          <a:avLst/>
        </a:prstGeom>
        <a:solidFill>
          <a:srgbClr val="FDDB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TOTAL</a:t>
          </a:r>
          <a:r>
            <a:rPr lang="en-US" sz="1400" b="1" baseline="0">
              <a:solidFill>
                <a:schemeClr val="tx1"/>
              </a:solidFill>
            </a:rPr>
            <a:t> CLIENTS</a:t>
          </a:r>
          <a:endParaRPr lang="en-US" sz="14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hino" refreshedDate="46064.520329166669" createdVersion="8" refreshedVersion="8" minRefreshableVersion="3" recordCount="374" xr:uid="{DC7BF4F0-DD9D-407F-B278-3D647CEF13A3}">
  <cacheSource type="worksheet">
    <worksheetSource ref="A1:T375" sheet="Work sheet"/>
  </cacheSource>
  <cacheFields count="20">
    <cacheField name="Person ID" numFmtId="0">
      <sharedItems containsSemiMixedTypes="0" containsString="0" containsNumber="1" containsInteger="1" minValue="1" maxValue="374"/>
    </cacheField>
    <cacheField name="Gender" numFmtId="0">
      <sharedItems count="2">
        <s v="Male"/>
        <s v="Female"/>
      </sharedItems>
    </cacheField>
    <cacheField name="Age" numFmtId="0">
      <sharedItems containsSemiMixedTypes="0" containsString="0" containsNumber="1" containsInteger="1" minValue="27" maxValue="59"/>
    </cacheField>
    <cacheField name="Occupation" numFmtId="0">
      <sharedItems count="11">
        <s v="Software Engineer"/>
        <s v="Doctor"/>
        <s v="Sales Representative"/>
        <s v="Teacher"/>
        <s v="Nurse"/>
        <s v="Engineer"/>
        <s v="Accountant"/>
        <s v="Scientist"/>
        <s v="Lawyer"/>
        <s v="Salesperson"/>
        <s v="Manager"/>
      </sharedItems>
    </cacheField>
    <cacheField name="Sleep Duration" numFmtId="0">
      <sharedItems containsSemiMixedTypes="0" containsString="0" containsNumber="1" minValue="5.8" maxValue="8.5"/>
    </cacheField>
    <cacheField name="Quality of Sleep" numFmtId="0">
      <sharedItems containsSemiMixedTypes="0" containsString="0" containsNumber="1" containsInteger="1" minValue="4" maxValue="9"/>
    </cacheField>
    <cacheField name="Physical Activity Level" numFmtId="0">
      <sharedItems containsSemiMixedTypes="0" containsString="0" containsNumber="1" containsInteger="1" minValue="30" maxValue="90"/>
    </cacheField>
    <cacheField name="Stress Level" numFmtId="0">
      <sharedItems containsSemiMixedTypes="0" containsString="0" containsNumber="1" containsInteger="1" minValue="3" maxValue="8"/>
    </cacheField>
    <cacheField name="BMI Category" numFmtId="0">
      <sharedItems/>
    </cacheField>
    <cacheField name="Blood Pressure" numFmtId="0">
      <sharedItems count="25">
        <s v="126/83"/>
        <s v="125/80"/>
        <s v="140/90"/>
        <s v="120/80"/>
        <s v="132/87"/>
        <s v="130/86"/>
        <s v="117/76"/>
        <s v="118/76"/>
        <s v="128/85"/>
        <s v="131/86"/>
        <s v="128/84"/>
        <s v="115/75"/>
        <s v="135/88"/>
        <s v="129/84"/>
        <s v="130/85"/>
        <s v="115/78"/>
        <s v="119/77"/>
        <s v="121/79"/>
        <s v="125/82"/>
        <s v="135/90"/>
        <s v="122/80"/>
        <s v="142/92"/>
        <s v="140/95"/>
        <s v="139/91"/>
        <s v="118/75"/>
      </sharedItems>
    </cacheField>
    <cacheField name="Heart Rate" numFmtId="0">
      <sharedItems containsSemiMixedTypes="0" containsString="0" containsNumber="1" containsInteger="1" minValue="65" maxValue="86"/>
    </cacheField>
    <cacheField name="Daily Steps" numFmtId="0">
      <sharedItems containsSemiMixedTypes="0" containsString="0" containsNumber="1" containsInteger="1" minValue="3000" maxValue="10000"/>
    </cacheField>
    <cacheField name="Sleep Disorder" numFmtId="0">
      <sharedItems/>
    </cacheField>
    <cacheField name="Age_Group" numFmtId="0">
      <sharedItems count="3">
        <s v="Young Adult"/>
        <s v="Adult"/>
        <s v="Old"/>
      </sharedItems>
    </cacheField>
    <cacheField name="Quality_of_Sleep_Range" numFmtId="0">
      <sharedItems count="4">
        <s v="Okay Sleep"/>
        <s v="Need more sleep"/>
        <s v="Good Sleep"/>
        <s v="Well Rested"/>
      </sharedItems>
    </cacheField>
    <cacheField name="Physical_Activity_Level_Range" numFmtId="0">
      <sharedItems count="5">
        <s v="Not Good Enough"/>
        <s v="Moderate"/>
        <s v="Low"/>
        <s v="High"/>
        <s v="Very High"/>
      </sharedItems>
    </cacheField>
    <cacheField name="Stress_Level_Range" numFmtId="0">
      <sharedItems count="3">
        <s v="Mid"/>
        <s v="High"/>
        <s v="Low"/>
      </sharedItems>
    </cacheField>
    <cacheField name="Blood_Pressure_Range" numFmtId="0">
      <sharedItems count="4">
        <s v="Elevated"/>
        <s v="HP Stage 2"/>
        <s v="HP Stage 1"/>
        <s v="Normal"/>
      </sharedItems>
    </cacheField>
    <cacheField name="Heart_Rate_Range" numFmtId="0">
      <sharedItems count="4">
        <s v="Below Average"/>
        <s v="Poor"/>
        <s v="Average"/>
        <s v="Good"/>
      </sharedItems>
    </cacheField>
    <cacheField name="Daily_Steps_Range" numFmtId="0">
      <sharedItems count="4">
        <s v="Low Active"/>
        <s v="Highly Active"/>
        <s v="Sedentary"/>
        <s v="Active"/>
      </sharedItems>
    </cacheField>
  </cacheFields>
  <extLst>
    <ext xmlns:x14="http://schemas.microsoft.com/office/spreadsheetml/2009/9/main" uri="{725AE2AE-9491-48be-B2B4-4EB974FC3084}">
      <x14:pivotCacheDefinition pivotCacheId="19278173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
  <r>
    <n v="1"/>
    <x v="0"/>
    <n v="27"/>
    <x v="0"/>
    <n v="6.1"/>
    <n v="6"/>
    <n v="42"/>
    <n v="6"/>
    <s v="Overweight"/>
    <x v="0"/>
    <n v="77"/>
    <n v="4200"/>
    <s v="None"/>
    <x v="0"/>
    <x v="0"/>
    <x v="0"/>
    <x v="0"/>
    <x v="0"/>
    <x v="0"/>
    <x v="0"/>
  </r>
  <r>
    <n v="2"/>
    <x v="0"/>
    <n v="28"/>
    <x v="1"/>
    <n v="6.2"/>
    <n v="6"/>
    <n v="60"/>
    <n v="8"/>
    <s v="Normal"/>
    <x v="1"/>
    <n v="75"/>
    <n v="10000"/>
    <s v="None"/>
    <x v="0"/>
    <x v="0"/>
    <x v="1"/>
    <x v="1"/>
    <x v="0"/>
    <x v="0"/>
    <x v="1"/>
  </r>
  <r>
    <n v="3"/>
    <x v="0"/>
    <n v="28"/>
    <x v="1"/>
    <n v="6.2"/>
    <n v="6"/>
    <n v="60"/>
    <n v="8"/>
    <s v="Normal"/>
    <x v="1"/>
    <n v="75"/>
    <n v="10000"/>
    <s v="None"/>
    <x v="0"/>
    <x v="0"/>
    <x v="1"/>
    <x v="1"/>
    <x v="0"/>
    <x v="0"/>
    <x v="1"/>
  </r>
  <r>
    <n v="4"/>
    <x v="0"/>
    <n v="28"/>
    <x v="2"/>
    <n v="5.9"/>
    <n v="4"/>
    <n v="30"/>
    <n v="8"/>
    <s v="Obese"/>
    <x v="2"/>
    <n v="85"/>
    <n v="3000"/>
    <s v="Sleep Apnea"/>
    <x v="0"/>
    <x v="1"/>
    <x v="2"/>
    <x v="1"/>
    <x v="1"/>
    <x v="1"/>
    <x v="2"/>
  </r>
  <r>
    <n v="5"/>
    <x v="0"/>
    <n v="28"/>
    <x v="2"/>
    <n v="5.9"/>
    <n v="4"/>
    <n v="30"/>
    <n v="8"/>
    <s v="Obese"/>
    <x v="2"/>
    <n v="85"/>
    <n v="3000"/>
    <s v="Sleep Apnea"/>
    <x v="0"/>
    <x v="1"/>
    <x v="2"/>
    <x v="1"/>
    <x v="1"/>
    <x v="1"/>
    <x v="2"/>
  </r>
  <r>
    <n v="6"/>
    <x v="0"/>
    <n v="28"/>
    <x v="0"/>
    <n v="5.9"/>
    <n v="4"/>
    <n v="30"/>
    <n v="8"/>
    <s v="Obese"/>
    <x v="2"/>
    <n v="85"/>
    <n v="3000"/>
    <s v="Insomnia"/>
    <x v="0"/>
    <x v="1"/>
    <x v="2"/>
    <x v="1"/>
    <x v="1"/>
    <x v="1"/>
    <x v="2"/>
  </r>
  <r>
    <n v="7"/>
    <x v="0"/>
    <n v="29"/>
    <x v="3"/>
    <n v="6.3"/>
    <n v="6"/>
    <n v="40"/>
    <n v="7"/>
    <s v="Obese"/>
    <x v="2"/>
    <n v="82"/>
    <n v="3500"/>
    <s v="Insomnia"/>
    <x v="0"/>
    <x v="0"/>
    <x v="0"/>
    <x v="1"/>
    <x v="1"/>
    <x v="1"/>
    <x v="2"/>
  </r>
  <r>
    <n v="8"/>
    <x v="0"/>
    <n v="29"/>
    <x v="1"/>
    <n v="7.8"/>
    <n v="7"/>
    <n v="75"/>
    <n v="6"/>
    <s v="Normal"/>
    <x v="3"/>
    <n v="70"/>
    <n v="8000"/>
    <s v="None"/>
    <x v="0"/>
    <x v="2"/>
    <x v="3"/>
    <x v="0"/>
    <x v="0"/>
    <x v="2"/>
    <x v="1"/>
  </r>
  <r>
    <n v="9"/>
    <x v="0"/>
    <n v="29"/>
    <x v="1"/>
    <n v="7.8"/>
    <n v="7"/>
    <n v="75"/>
    <n v="6"/>
    <s v="Normal"/>
    <x v="3"/>
    <n v="70"/>
    <n v="8000"/>
    <s v="None"/>
    <x v="0"/>
    <x v="2"/>
    <x v="3"/>
    <x v="0"/>
    <x v="0"/>
    <x v="2"/>
    <x v="1"/>
  </r>
  <r>
    <n v="10"/>
    <x v="0"/>
    <n v="29"/>
    <x v="1"/>
    <n v="7.8"/>
    <n v="7"/>
    <n v="75"/>
    <n v="6"/>
    <s v="Normal"/>
    <x v="3"/>
    <n v="70"/>
    <n v="8000"/>
    <s v="None"/>
    <x v="0"/>
    <x v="2"/>
    <x v="3"/>
    <x v="0"/>
    <x v="0"/>
    <x v="2"/>
    <x v="1"/>
  </r>
  <r>
    <n v="11"/>
    <x v="0"/>
    <n v="29"/>
    <x v="1"/>
    <n v="6.1"/>
    <n v="6"/>
    <n v="30"/>
    <n v="8"/>
    <s v="Normal"/>
    <x v="3"/>
    <n v="70"/>
    <n v="8000"/>
    <s v="None"/>
    <x v="0"/>
    <x v="0"/>
    <x v="2"/>
    <x v="1"/>
    <x v="0"/>
    <x v="2"/>
    <x v="1"/>
  </r>
  <r>
    <n v="12"/>
    <x v="0"/>
    <n v="29"/>
    <x v="1"/>
    <n v="7.8"/>
    <n v="7"/>
    <n v="75"/>
    <n v="6"/>
    <s v="Normal"/>
    <x v="3"/>
    <n v="70"/>
    <n v="8000"/>
    <s v="None"/>
    <x v="0"/>
    <x v="2"/>
    <x v="3"/>
    <x v="0"/>
    <x v="0"/>
    <x v="2"/>
    <x v="1"/>
  </r>
  <r>
    <n v="13"/>
    <x v="0"/>
    <n v="29"/>
    <x v="1"/>
    <n v="6.1"/>
    <n v="6"/>
    <n v="30"/>
    <n v="8"/>
    <s v="Normal"/>
    <x v="3"/>
    <n v="70"/>
    <n v="8000"/>
    <s v="None"/>
    <x v="0"/>
    <x v="0"/>
    <x v="2"/>
    <x v="1"/>
    <x v="0"/>
    <x v="2"/>
    <x v="1"/>
  </r>
  <r>
    <n v="14"/>
    <x v="0"/>
    <n v="29"/>
    <x v="1"/>
    <n v="6"/>
    <n v="6"/>
    <n v="30"/>
    <n v="8"/>
    <s v="Normal"/>
    <x v="3"/>
    <n v="70"/>
    <n v="8000"/>
    <s v="None"/>
    <x v="0"/>
    <x v="0"/>
    <x v="2"/>
    <x v="1"/>
    <x v="0"/>
    <x v="2"/>
    <x v="1"/>
  </r>
  <r>
    <n v="15"/>
    <x v="0"/>
    <n v="29"/>
    <x v="1"/>
    <n v="6"/>
    <n v="6"/>
    <n v="30"/>
    <n v="8"/>
    <s v="Normal"/>
    <x v="3"/>
    <n v="70"/>
    <n v="8000"/>
    <s v="None"/>
    <x v="0"/>
    <x v="0"/>
    <x v="2"/>
    <x v="1"/>
    <x v="0"/>
    <x v="2"/>
    <x v="1"/>
  </r>
  <r>
    <n v="16"/>
    <x v="0"/>
    <n v="29"/>
    <x v="1"/>
    <n v="6"/>
    <n v="6"/>
    <n v="30"/>
    <n v="8"/>
    <s v="Normal"/>
    <x v="3"/>
    <n v="70"/>
    <n v="8000"/>
    <s v="None"/>
    <x v="0"/>
    <x v="0"/>
    <x v="2"/>
    <x v="1"/>
    <x v="0"/>
    <x v="2"/>
    <x v="1"/>
  </r>
  <r>
    <n v="17"/>
    <x v="1"/>
    <n v="29"/>
    <x v="4"/>
    <n v="6.5"/>
    <n v="5"/>
    <n v="40"/>
    <n v="7"/>
    <s v="Normal Weight"/>
    <x v="4"/>
    <n v="80"/>
    <n v="4000"/>
    <s v="Sleep Apnea"/>
    <x v="0"/>
    <x v="1"/>
    <x v="0"/>
    <x v="1"/>
    <x v="2"/>
    <x v="1"/>
    <x v="0"/>
  </r>
  <r>
    <n v="18"/>
    <x v="0"/>
    <n v="29"/>
    <x v="1"/>
    <n v="6"/>
    <n v="6"/>
    <n v="30"/>
    <n v="8"/>
    <s v="Normal"/>
    <x v="3"/>
    <n v="70"/>
    <n v="8000"/>
    <s v="Sleep Apnea"/>
    <x v="0"/>
    <x v="0"/>
    <x v="2"/>
    <x v="1"/>
    <x v="0"/>
    <x v="2"/>
    <x v="1"/>
  </r>
  <r>
    <n v="19"/>
    <x v="1"/>
    <n v="29"/>
    <x v="4"/>
    <n v="6.5"/>
    <n v="5"/>
    <n v="40"/>
    <n v="7"/>
    <s v="Normal Weight"/>
    <x v="4"/>
    <n v="80"/>
    <n v="4000"/>
    <s v="Insomnia"/>
    <x v="0"/>
    <x v="1"/>
    <x v="0"/>
    <x v="1"/>
    <x v="2"/>
    <x v="1"/>
    <x v="0"/>
  </r>
  <r>
    <n v="20"/>
    <x v="0"/>
    <n v="30"/>
    <x v="1"/>
    <n v="7.6"/>
    <n v="7"/>
    <n v="75"/>
    <n v="6"/>
    <s v="Normal"/>
    <x v="3"/>
    <n v="70"/>
    <n v="8000"/>
    <s v="None"/>
    <x v="0"/>
    <x v="2"/>
    <x v="3"/>
    <x v="0"/>
    <x v="0"/>
    <x v="2"/>
    <x v="1"/>
  </r>
  <r>
    <n v="21"/>
    <x v="0"/>
    <n v="30"/>
    <x v="1"/>
    <n v="7.7"/>
    <n v="7"/>
    <n v="75"/>
    <n v="6"/>
    <s v="Normal"/>
    <x v="3"/>
    <n v="70"/>
    <n v="8000"/>
    <s v="None"/>
    <x v="0"/>
    <x v="2"/>
    <x v="3"/>
    <x v="0"/>
    <x v="0"/>
    <x v="2"/>
    <x v="1"/>
  </r>
  <r>
    <n v="22"/>
    <x v="0"/>
    <n v="30"/>
    <x v="1"/>
    <n v="7.7"/>
    <n v="7"/>
    <n v="75"/>
    <n v="6"/>
    <s v="Normal"/>
    <x v="3"/>
    <n v="70"/>
    <n v="8000"/>
    <s v="None"/>
    <x v="0"/>
    <x v="2"/>
    <x v="3"/>
    <x v="0"/>
    <x v="0"/>
    <x v="2"/>
    <x v="1"/>
  </r>
  <r>
    <n v="23"/>
    <x v="0"/>
    <n v="30"/>
    <x v="1"/>
    <n v="7.7"/>
    <n v="7"/>
    <n v="75"/>
    <n v="6"/>
    <s v="Normal"/>
    <x v="3"/>
    <n v="70"/>
    <n v="8000"/>
    <s v="None"/>
    <x v="0"/>
    <x v="2"/>
    <x v="3"/>
    <x v="0"/>
    <x v="0"/>
    <x v="2"/>
    <x v="1"/>
  </r>
  <r>
    <n v="24"/>
    <x v="0"/>
    <n v="30"/>
    <x v="1"/>
    <n v="7.7"/>
    <n v="7"/>
    <n v="75"/>
    <n v="6"/>
    <s v="Normal"/>
    <x v="3"/>
    <n v="70"/>
    <n v="8000"/>
    <s v="None"/>
    <x v="0"/>
    <x v="2"/>
    <x v="3"/>
    <x v="0"/>
    <x v="0"/>
    <x v="2"/>
    <x v="1"/>
  </r>
  <r>
    <n v="25"/>
    <x v="0"/>
    <n v="30"/>
    <x v="1"/>
    <n v="7.8"/>
    <n v="7"/>
    <n v="75"/>
    <n v="6"/>
    <s v="Normal"/>
    <x v="3"/>
    <n v="70"/>
    <n v="8000"/>
    <s v="None"/>
    <x v="0"/>
    <x v="2"/>
    <x v="3"/>
    <x v="0"/>
    <x v="0"/>
    <x v="2"/>
    <x v="1"/>
  </r>
  <r>
    <n v="26"/>
    <x v="0"/>
    <n v="30"/>
    <x v="1"/>
    <n v="7.9"/>
    <n v="7"/>
    <n v="75"/>
    <n v="6"/>
    <s v="Normal"/>
    <x v="3"/>
    <n v="70"/>
    <n v="8000"/>
    <s v="None"/>
    <x v="0"/>
    <x v="2"/>
    <x v="3"/>
    <x v="0"/>
    <x v="0"/>
    <x v="2"/>
    <x v="1"/>
  </r>
  <r>
    <n v="27"/>
    <x v="0"/>
    <n v="30"/>
    <x v="1"/>
    <n v="7.8"/>
    <n v="7"/>
    <n v="75"/>
    <n v="6"/>
    <s v="Normal"/>
    <x v="3"/>
    <n v="70"/>
    <n v="8000"/>
    <s v="None"/>
    <x v="0"/>
    <x v="2"/>
    <x v="3"/>
    <x v="0"/>
    <x v="0"/>
    <x v="2"/>
    <x v="1"/>
  </r>
  <r>
    <n v="28"/>
    <x v="0"/>
    <n v="30"/>
    <x v="1"/>
    <n v="7.9"/>
    <n v="7"/>
    <n v="75"/>
    <n v="6"/>
    <s v="Normal"/>
    <x v="3"/>
    <n v="70"/>
    <n v="8000"/>
    <s v="None"/>
    <x v="0"/>
    <x v="2"/>
    <x v="3"/>
    <x v="0"/>
    <x v="0"/>
    <x v="2"/>
    <x v="1"/>
  </r>
  <r>
    <n v="29"/>
    <x v="0"/>
    <n v="30"/>
    <x v="1"/>
    <n v="7.9"/>
    <n v="7"/>
    <n v="75"/>
    <n v="6"/>
    <s v="Normal"/>
    <x v="3"/>
    <n v="70"/>
    <n v="8000"/>
    <s v="None"/>
    <x v="0"/>
    <x v="2"/>
    <x v="3"/>
    <x v="0"/>
    <x v="0"/>
    <x v="2"/>
    <x v="1"/>
  </r>
  <r>
    <n v="30"/>
    <x v="0"/>
    <n v="30"/>
    <x v="1"/>
    <n v="7.9"/>
    <n v="7"/>
    <n v="75"/>
    <n v="6"/>
    <s v="Normal"/>
    <x v="3"/>
    <n v="70"/>
    <n v="8000"/>
    <s v="None"/>
    <x v="0"/>
    <x v="2"/>
    <x v="3"/>
    <x v="0"/>
    <x v="0"/>
    <x v="2"/>
    <x v="1"/>
  </r>
  <r>
    <n v="31"/>
    <x v="1"/>
    <n v="30"/>
    <x v="4"/>
    <n v="6.4"/>
    <n v="5"/>
    <n v="35"/>
    <n v="7"/>
    <s v="Normal Weight"/>
    <x v="5"/>
    <n v="78"/>
    <n v="4100"/>
    <s v="Sleep Apnea"/>
    <x v="0"/>
    <x v="1"/>
    <x v="2"/>
    <x v="1"/>
    <x v="2"/>
    <x v="0"/>
    <x v="0"/>
  </r>
  <r>
    <n v="32"/>
    <x v="1"/>
    <n v="30"/>
    <x v="4"/>
    <n v="6.4"/>
    <n v="5"/>
    <n v="35"/>
    <n v="7"/>
    <s v="Normal Weight"/>
    <x v="5"/>
    <n v="78"/>
    <n v="4100"/>
    <s v="Insomnia"/>
    <x v="0"/>
    <x v="1"/>
    <x v="2"/>
    <x v="1"/>
    <x v="2"/>
    <x v="0"/>
    <x v="0"/>
  </r>
  <r>
    <n v="33"/>
    <x v="1"/>
    <n v="31"/>
    <x v="4"/>
    <n v="7.9"/>
    <n v="8"/>
    <n v="75"/>
    <n v="4"/>
    <s v="Normal Weight"/>
    <x v="6"/>
    <n v="69"/>
    <n v="6800"/>
    <s v="None"/>
    <x v="0"/>
    <x v="3"/>
    <x v="3"/>
    <x v="2"/>
    <x v="3"/>
    <x v="3"/>
    <x v="3"/>
  </r>
  <r>
    <n v="34"/>
    <x v="0"/>
    <n v="31"/>
    <x v="1"/>
    <n v="6.1"/>
    <n v="6"/>
    <n v="30"/>
    <n v="8"/>
    <s v="Normal"/>
    <x v="1"/>
    <n v="72"/>
    <n v="5000"/>
    <s v="None"/>
    <x v="0"/>
    <x v="0"/>
    <x v="2"/>
    <x v="1"/>
    <x v="0"/>
    <x v="2"/>
    <x v="0"/>
  </r>
  <r>
    <n v="35"/>
    <x v="0"/>
    <n v="31"/>
    <x v="1"/>
    <n v="7.7"/>
    <n v="7"/>
    <n v="75"/>
    <n v="6"/>
    <s v="Normal"/>
    <x v="3"/>
    <n v="70"/>
    <n v="8000"/>
    <s v="None"/>
    <x v="0"/>
    <x v="2"/>
    <x v="3"/>
    <x v="0"/>
    <x v="0"/>
    <x v="2"/>
    <x v="1"/>
  </r>
  <r>
    <n v="36"/>
    <x v="0"/>
    <n v="31"/>
    <x v="1"/>
    <n v="6.1"/>
    <n v="6"/>
    <n v="30"/>
    <n v="8"/>
    <s v="Normal"/>
    <x v="1"/>
    <n v="72"/>
    <n v="5000"/>
    <s v="None"/>
    <x v="0"/>
    <x v="0"/>
    <x v="2"/>
    <x v="1"/>
    <x v="0"/>
    <x v="2"/>
    <x v="0"/>
  </r>
  <r>
    <n v="37"/>
    <x v="0"/>
    <n v="31"/>
    <x v="1"/>
    <n v="6.1"/>
    <n v="6"/>
    <n v="30"/>
    <n v="8"/>
    <s v="Normal"/>
    <x v="1"/>
    <n v="72"/>
    <n v="5000"/>
    <s v="None"/>
    <x v="0"/>
    <x v="0"/>
    <x v="2"/>
    <x v="1"/>
    <x v="0"/>
    <x v="2"/>
    <x v="0"/>
  </r>
  <r>
    <n v="38"/>
    <x v="0"/>
    <n v="31"/>
    <x v="1"/>
    <n v="7.6"/>
    <n v="7"/>
    <n v="75"/>
    <n v="6"/>
    <s v="Normal"/>
    <x v="3"/>
    <n v="70"/>
    <n v="8000"/>
    <s v="None"/>
    <x v="0"/>
    <x v="2"/>
    <x v="3"/>
    <x v="0"/>
    <x v="0"/>
    <x v="2"/>
    <x v="1"/>
  </r>
  <r>
    <n v="39"/>
    <x v="0"/>
    <n v="31"/>
    <x v="1"/>
    <n v="7.6"/>
    <n v="7"/>
    <n v="75"/>
    <n v="6"/>
    <s v="Normal"/>
    <x v="3"/>
    <n v="70"/>
    <n v="8000"/>
    <s v="None"/>
    <x v="0"/>
    <x v="2"/>
    <x v="3"/>
    <x v="0"/>
    <x v="0"/>
    <x v="2"/>
    <x v="1"/>
  </r>
  <r>
    <n v="40"/>
    <x v="0"/>
    <n v="31"/>
    <x v="1"/>
    <n v="7.6"/>
    <n v="7"/>
    <n v="75"/>
    <n v="6"/>
    <s v="Normal"/>
    <x v="3"/>
    <n v="70"/>
    <n v="8000"/>
    <s v="None"/>
    <x v="0"/>
    <x v="2"/>
    <x v="3"/>
    <x v="0"/>
    <x v="0"/>
    <x v="2"/>
    <x v="1"/>
  </r>
  <r>
    <n v="41"/>
    <x v="0"/>
    <n v="31"/>
    <x v="1"/>
    <n v="7.7"/>
    <n v="7"/>
    <n v="75"/>
    <n v="6"/>
    <s v="Normal"/>
    <x v="3"/>
    <n v="70"/>
    <n v="8000"/>
    <s v="None"/>
    <x v="0"/>
    <x v="2"/>
    <x v="3"/>
    <x v="0"/>
    <x v="0"/>
    <x v="2"/>
    <x v="1"/>
  </r>
  <r>
    <n v="42"/>
    <x v="0"/>
    <n v="31"/>
    <x v="1"/>
    <n v="7.7"/>
    <n v="7"/>
    <n v="75"/>
    <n v="6"/>
    <s v="Normal"/>
    <x v="3"/>
    <n v="70"/>
    <n v="8000"/>
    <s v="None"/>
    <x v="0"/>
    <x v="2"/>
    <x v="3"/>
    <x v="0"/>
    <x v="0"/>
    <x v="2"/>
    <x v="1"/>
  </r>
  <r>
    <n v="43"/>
    <x v="0"/>
    <n v="31"/>
    <x v="1"/>
    <n v="7.7"/>
    <n v="7"/>
    <n v="75"/>
    <n v="6"/>
    <s v="Normal"/>
    <x v="3"/>
    <n v="70"/>
    <n v="8000"/>
    <s v="None"/>
    <x v="0"/>
    <x v="2"/>
    <x v="3"/>
    <x v="0"/>
    <x v="0"/>
    <x v="2"/>
    <x v="1"/>
  </r>
  <r>
    <n v="44"/>
    <x v="0"/>
    <n v="31"/>
    <x v="1"/>
    <n v="7.8"/>
    <n v="7"/>
    <n v="75"/>
    <n v="6"/>
    <s v="Normal"/>
    <x v="3"/>
    <n v="70"/>
    <n v="8000"/>
    <s v="None"/>
    <x v="0"/>
    <x v="2"/>
    <x v="3"/>
    <x v="0"/>
    <x v="0"/>
    <x v="2"/>
    <x v="1"/>
  </r>
  <r>
    <n v="45"/>
    <x v="0"/>
    <n v="31"/>
    <x v="1"/>
    <n v="7.7"/>
    <n v="7"/>
    <n v="75"/>
    <n v="6"/>
    <s v="Normal"/>
    <x v="3"/>
    <n v="70"/>
    <n v="8000"/>
    <s v="None"/>
    <x v="0"/>
    <x v="2"/>
    <x v="3"/>
    <x v="0"/>
    <x v="0"/>
    <x v="2"/>
    <x v="1"/>
  </r>
  <r>
    <n v="46"/>
    <x v="0"/>
    <n v="31"/>
    <x v="1"/>
    <n v="7.8"/>
    <n v="7"/>
    <n v="75"/>
    <n v="6"/>
    <s v="Normal"/>
    <x v="3"/>
    <n v="70"/>
    <n v="8000"/>
    <s v="None"/>
    <x v="0"/>
    <x v="2"/>
    <x v="3"/>
    <x v="0"/>
    <x v="0"/>
    <x v="2"/>
    <x v="1"/>
  </r>
  <r>
    <n v="47"/>
    <x v="0"/>
    <n v="31"/>
    <x v="1"/>
    <n v="7.7"/>
    <n v="7"/>
    <n v="75"/>
    <n v="6"/>
    <s v="Normal"/>
    <x v="3"/>
    <n v="70"/>
    <n v="8000"/>
    <s v="None"/>
    <x v="0"/>
    <x v="2"/>
    <x v="3"/>
    <x v="0"/>
    <x v="0"/>
    <x v="2"/>
    <x v="1"/>
  </r>
  <r>
    <n v="48"/>
    <x v="0"/>
    <n v="31"/>
    <x v="1"/>
    <n v="7.8"/>
    <n v="7"/>
    <n v="75"/>
    <n v="6"/>
    <s v="Normal"/>
    <x v="3"/>
    <n v="70"/>
    <n v="8000"/>
    <s v="None"/>
    <x v="0"/>
    <x v="2"/>
    <x v="3"/>
    <x v="0"/>
    <x v="0"/>
    <x v="2"/>
    <x v="1"/>
  </r>
  <r>
    <n v="49"/>
    <x v="0"/>
    <n v="31"/>
    <x v="1"/>
    <n v="7.7"/>
    <n v="7"/>
    <n v="75"/>
    <n v="6"/>
    <s v="Normal"/>
    <x v="3"/>
    <n v="70"/>
    <n v="8000"/>
    <s v="None"/>
    <x v="0"/>
    <x v="2"/>
    <x v="3"/>
    <x v="0"/>
    <x v="0"/>
    <x v="2"/>
    <x v="1"/>
  </r>
  <r>
    <n v="50"/>
    <x v="0"/>
    <n v="31"/>
    <x v="1"/>
    <n v="7.7"/>
    <n v="7"/>
    <n v="75"/>
    <n v="6"/>
    <s v="Normal"/>
    <x v="3"/>
    <n v="70"/>
    <n v="8000"/>
    <s v="Sleep Apnea"/>
    <x v="0"/>
    <x v="2"/>
    <x v="3"/>
    <x v="0"/>
    <x v="0"/>
    <x v="2"/>
    <x v="1"/>
  </r>
  <r>
    <n v="51"/>
    <x v="0"/>
    <n v="32"/>
    <x v="5"/>
    <n v="7.5"/>
    <n v="8"/>
    <n v="45"/>
    <n v="3"/>
    <s v="Normal"/>
    <x v="3"/>
    <n v="70"/>
    <n v="8000"/>
    <s v="None"/>
    <x v="0"/>
    <x v="3"/>
    <x v="0"/>
    <x v="2"/>
    <x v="0"/>
    <x v="2"/>
    <x v="1"/>
  </r>
  <r>
    <n v="52"/>
    <x v="0"/>
    <n v="32"/>
    <x v="5"/>
    <n v="7.5"/>
    <n v="8"/>
    <n v="45"/>
    <n v="3"/>
    <s v="Normal"/>
    <x v="3"/>
    <n v="70"/>
    <n v="8000"/>
    <s v="None"/>
    <x v="0"/>
    <x v="3"/>
    <x v="0"/>
    <x v="2"/>
    <x v="0"/>
    <x v="2"/>
    <x v="1"/>
  </r>
  <r>
    <n v="53"/>
    <x v="0"/>
    <n v="32"/>
    <x v="1"/>
    <n v="6"/>
    <n v="6"/>
    <n v="30"/>
    <n v="8"/>
    <s v="Normal"/>
    <x v="1"/>
    <n v="72"/>
    <n v="5000"/>
    <s v="None"/>
    <x v="0"/>
    <x v="0"/>
    <x v="2"/>
    <x v="1"/>
    <x v="0"/>
    <x v="2"/>
    <x v="0"/>
  </r>
  <r>
    <n v="54"/>
    <x v="0"/>
    <n v="32"/>
    <x v="1"/>
    <n v="7.6"/>
    <n v="7"/>
    <n v="75"/>
    <n v="6"/>
    <s v="Normal"/>
    <x v="3"/>
    <n v="70"/>
    <n v="8000"/>
    <s v="None"/>
    <x v="0"/>
    <x v="2"/>
    <x v="3"/>
    <x v="0"/>
    <x v="0"/>
    <x v="2"/>
    <x v="1"/>
  </r>
  <r>
    <n v="55"/>
    <x v="0"/>
    <n v="32"/>
    <x v="1"/>
    <n v="6"/>
    <n v="6"/>
    <n v="30"/>
    <n v="8"/>
    <s v="Normal"/>
    <x v="1"/>
    <n v="72"/>
    <n v="5000"/>
    <s v="None"/>
    <x v="0"/>
    <x v="0"/>
    <x v="2"/>
    <x v="1"/>
    <x v="0"/>
    <x v="2"/>
    <x v="0"/>
  </r>
  <r>
    <n v="56"/>
    <x v="0"/>
    <n v="32"/>
    <x v="1"/>
    <n v="6"/>
    <n v="6"/>
    <n v="30"/>
    <n v="8"/>
    <s v="Normal"/>
    <x v="1"/>
    <n v="72"/>
    <n v="5000"/>
    <s v="None"/>
    <x v="0"/>
    <x v="0"/>
    <x v="2"/>
    <x v="1"/>
    <x v="0"/>
    <x v="2"/>
    <x v="0"/>
  </r>
  <r>
    <n v="57"/>
    <x v="0"/>
    <n v="32"/>
    <x v="1"/>
    <n v="7.7"/>
    <n v="7"/>
    <n v="75"/>
    <n v="6"/>
    <s v="Normal"/>
    <x v="3"/>
    <n v="70"/>
    <n v="8000"/>
    <s v="None"/>
    <x v="0"/>
    <x v="2"/>
    <x v="3"/>
    <x v="0"/>
    <x v="0"/>
    <x v="2"/>
    <x v="1"/>
  </r>
  <r>
    <n v="58"/>
    <x v="0"/>
    <n v="32"/>
    <x v="1"/>
    <n v="6"/>
    <n v="6"/>
    <n v="30"/>
    <n v="8"/>
    <s v="Normal"/>
    <x v="1"/>
    <n v="72"/>
    <n v="5000"/>
    <s v="None"/>
    <x v="0"/>
    <x v="0"/>
    <x v="2"/>
    <x v="1"/>
    <x v="0"/>
    <x v="2"/>
    <x v="0"/>
  </r>
  <r>
    <n v="59"/>
    <x v="0"/>
    <n v="32"/>
    <x v="1"/>
    <n v="6"/>
    <n v="6"/>
    <n v="30"/>
    <n v="8"/>
    <s v="Normal"/>
    <x v="1"/>
    <n v="72"/>
    <n v="5000"/>
    <s v="None"/>
    <x v="0"/>
    <x v="0"/>
    <x v="2"/>
    <x v="1"/>
    <x v="0"/>
    <x v="2"/>
    <x v="0"/>
  </r>
  <r>
    <n v="60"/>
    <x v="0"/>
    <n v="32"/>
    <x v="1"/>
    <n v="7.7"/>
    <n v="7"/>
    <n v="75"/>
    <n v="6"/>
    <s v="Normal"/>
    <x v="3"/>
    <n v="70"/>
    <n v="8000"/>
    <s v="None"/>
    <x v="0"/>
    <x v="2"/>
    <x v="3"/>
    <x v="0"/>
    <x v="0"/>
    <x v="2"/>
    <x v="1"/>
  </r>
  <r>
    <n v="61"/>
    <x v="0"/>
    <n v="32"/>
    <x v="1"/>
    <n v="6"/>
    <n v="6"/>
    <n v="30"/>
    <n v="8"/>
    <s v="Normal"/>
    <x v="1"/>
    <n v="72"/>
    <n v="5000"/>
    <s v="None"/>
    <x v="0"/>
    <x v="0"/>
    <x v="2"/>
    <x v="1"/>
    <x v="0"/>
    <x v="2"/>
    <x v="0"/>
  </r>
  <r>
    <n v="62"/>
    <x v="0"/>
    <n v="32"/>
    <x v="1"/>
    <n v="6"/>
    <n v="6"/>
    <n v="30"/>
    <n v="8"/>
    <s v="Normal"/>
    <x v="1"/>
    <n v="72"/>
    <n v="5000"/>
    <s v="None"/>
    <x v="0"/>
    <x v="0"/>
    <x v="2"/>
    <x v="1"/>
    <x v="0"/>
    <x v="2"/>
    <x v="0"/>
  </r>
  <r>
    <n v="63"/>
    <x v="0"/>
    <n v="32"/>
    <x v="1"/>
    <n v="6.2"/>
    <n v="6"/>
    <n v="30"/>
    <n v="8"/>
    <s v="Normal"/>
    <x v="1"/>
    <n v="72"/>
    <n v="5000"/>
    <s v="None"/>
    <x v="0"/>
    <x v="0"/>
    <x v="2"/>
    <x v="1"/>
    <x v="0"/>
    <x v="2"/>
    <x v="0"/>
  </r>
  <r>
    <n v="64"/>
    <x v="0"/>
    <n v="32"/>
    <x v="1"/>
    <n v="6.2"/>
    <n v="6"/>
    <n v="30"/>
    <n v="8"/>
    <s v="Normal"/>
    <x v="1"/>
    <n v="72"/>
    <n v="5000"/>
    <s v="None"/>
    <x v="0"/>
    <x v="0"/>
    <x v="2"/>
    <x v="1"/>
    <x v="0"/>
    <x v="2"/>
    <x v="0"/>
  </r>
  <r>
    <n v="65"/>
    <x v="0"/>
    <n v="32"/>
    <x v="1"/>
    <n v="6.2"/>
    <n v="6"/>
    <n v="30"/>
    <n v="8"/>
    <s v="Normal"/>
    <x v="1"/>
    <n v="72"/>
    <n v="5000"/>
    <s v="None"/>
    <x v="0"/>
    <x v="0"/>
    <x v="2"/>
    <x v="1"/>
    <x v="0"/>
    <x v="2"/>
    <x v="0"/>
  </r>
  <r>
    <n v="66"/>
    <x v="0"/>
    <n v="32"/>
    <x v="1"/>
    <n v="6.2"/>
    <n v="6"/>
    <n v="30"/>
    <n v="8"/>
    <s v="Normal"/>
    <x v="1"/>
    <n v="72"/>
    <n v="5000"/>
    <s v="None"/>
    <x v="0"/>
    <x v="0"/>
    <x v="2"/>
    <x v="1"/>
    <x v="0"/>
    <x v="2"/>
    <x v="0"/>
  </r>
  <r>
    <n v="67"/>
    <x v="0"/>
    <n v="32"/>
    <x v="6"/>
    <n v="7.2"/>
    <n v="8"/>
    <n v="50"/>
    <n v="6"/>
    <s v="Normal Weight"/>
    <x v="7"/>
    <n v="68"/>
    <n v="7000"/>
    <s v="None"/>
    <x v="0"/>
    <x v="3"/>
    <x v="1"/>
    <x v="0"/>
    <x v="3"/>
    <x v="3"/>
    <x v="3"/>
  </r>
  <r>
    <n v="68"/>
    <x v="0"/>
    <n v="33"/>
    <x v="1"/>
    <n v="6"/>
    <n v="6"/>
    <n v="30"/>
    <n v="8"/>
    <s v="Normal"/>
    <x v="1"/>
    <n v="72"/>
    <n v="5000"/>
    <s v="Insomnia"/>
    <x v="0"/>
    <x v="0"/>
    <x v="2"/>
    <x v="1"/>
    <x v="0"/>
    <x v="2"/>
    <x v="0"/>
  </r>
  <r>
    <n v="69"/>
    <x v="1"/>
    <n v="33"/>
    <x v="7"/>
    <n v="6.2"/>
    <n v="6"/>
    <n v="50"/>
    <n v="6"/>
    <s v="Overweight"/>
    <x v="8"/>
    <n v="76"/>
    <n v="5500"/>
    <s v="None"/>
    <x v="0"/>
    <x v="0"/>
    <x v="1"/>
    <x v="0"/>
    <x v="0"/>
    <x v="0"/>
    <x v="0"/>
  </r>
  <r>
    <n v="70"/>
    <x v="1"/>
    <n v="33"/>
    <x v="7"/>
    <n v="6.2"/>
    <n v="6"/>
    <n v="50"/>
    <n v="6"/>
    <s v="Overweight"/>
    <x v="8"/>
    <n v="76"/>
    <n v="5500"/>
    <s v="None"/>
    <x v="0"/>
    <x v="0"/>
    <x v="1"/>
    <x v="0"/>
    <x v="0"/>
    <x v="0"/>
    <x v="0"/>
  </r>
  <r>
    <n v="71"/>
    <x v="0"/>
    <n v="33"/>
    <x v="1"/>
    <n v="6.1"/>
    <n v="6"/>
    <n v="30"/>
    <n v="8"/>
    <s v="Normal"/>
    <x v="1"/>
    <n v="72"/>
    <n v="5000"/>
    <s v="None"/>
    <x v="0"/>
    <x v="0"/>
    <x v="2"/>
    <x v="1"/>
    <x v="0"/>
    <x v="2"/>
    <x v="0"/>
  </r>
  <r>
    <n v="72"/>
    <x v="0"/>
    <n v="33"/>
    <x v="1"/>
    <n v="6.1"/>
    <n v="6"/>
    <n v="30"/>
    <n v="8"/>
    <s v="Normal"/>
    <x v="1"/>
    <n v="72"/>
    <n v="5000"/>
    <s v="None"/>
    <x v="0"/>
    <x v="0"/>
    <x v="2"/>
    <x v="1"/>
    <x v="0"/>
    <x v="2"/>
    <x v="0"/>
  </r>
  <r>
    <n v="73"/>
    <x v="0"/>
    <n v="33"/>
    <x v="1"/>
    <n v="6.1"/>
    <n v="6"/>
    <n v="30"/>
    <n v="8"/>
    <s v="Normal"/>
    <x v="1"/>
    <n v="72"/>
    <n v="5000"/>
    <s v="None"/>
    <x v="0"/>
    <x v="0"/>
    <x v="2"/>
    <x v="1"/>
    <x v="0"/>
    <x v="2"/>
    <x v="0"/>
  </r>
  <r>
    <n v="74"/>
    <x v="0"/>
    <n v="33"/>
    <x v="1"/>
    <n v="6.1"/>
    <n v="6"/>
    <n v="30"/>
    <n v="8"/>
    <s v="Normal"/>
    <x v="1"/>
    <n v="72"/>
    <n v="5000"/>
    <s v="None"/>
    <x v="0"/>
    <x v="0"/>
    <x v="2"/>
    <x v="1"/>
    <x v="0"/>
    <x v="2"/>
    <x v="0"/>
  </r>
  <r>
    <n v="75"/>
    <x v="0"/>
    <n v="33"/>
    <x v="1"/>
    <n v="6"/>
    <n v="6"/>
    <n v="30"/>
    <n v="8"/>
    <s v="Normal"/>
    <x v="1"/>
    <n v="72"/>
    <n v="5000"/>
    <s v="None"/>
    <x v="0"/>
    <x v="0"/>
    <x v="2"/>
    <x v="1"/>
    <x v="0"/>
    <x v="2"/>
    <x v="0"/>
  </r>
  <r>
    <n v="76"/>
    <x v="0"/>
    <n v="33"/>
    <x v="1"/>
    <n v="6"/>
    <n v="6"/>
    <n v="30"/>
    <n v="8"/>
    <s v="Normal"/>
    <x v="1"/>
    <n v="72"/>
    <n v="5000"/>
    <s v="None"/>
    <x v="0"/>
    <x v="0"/>
    <x v="2"/>
    <x v="1"/>
    <x v="0"/>
    <x v="2"/>
    <x v="0"/>
  </r>
  <r>
    <n v="77"/>
    <x v="0"/>
    <n v="33"/>
    <x v="1"/>
    <n v="6"/>
    <n v="6"/>
    <n v="30"/>
    <n v="8"/>
    <s v="Normal"/>
    <x v="1"/>
    <n v="72"/>
    <n v="5000"/>
    <s v="None"/>
    <x v="0"/>
    <x v="0"/>
    <x v="2"/>
    <x v="1"/>
    <x v="0"/>
    <x v="2"/>
    <x v="0"/>
  </r>
  <r>
    <n v="78"/>
    <x v="0"/>
    <n v="33"/>
    <x v="1"/>
    <n v="6"/>
    <n v="6"/>
    <n v="30"/>
    <n v="8"/>
    <s v="Normal"/>
    <x v="1"/>
    <n v="72"/>
    <n v="5000"/>
    <s v="None"/>
    <x v="0"/>
    <x v="0"/>
    <x v="2"/>
    <x v="1"/>
    <x v="0"/>
    <x v="2"/>
    <x v="0"/>
  </r>
  <r>
    <n v="79"/>
    <x v="0"/>
    <n v="33"/>
    <x v="1"/>
    <n v="6"/>
    <n v="6"/>
    <n v="30"/>
    <n v="8"/>
    <s v="Normal"/>
    <x v="1"/>
    <n v="72"/>
    <n v="5000"/>
    <s v="None"/>
    <x v="0"/>
    <x v="0"/>
    <x v="2"/>
    <x v="1"/>
    <x v="0"/>
    <x v="2"/>
    <x v="0"/>
  </r>
  <r>
    <n v="80"/>
    <x v="0"/>
    <n v="33"/>
    <x v="1"/>
    <n v="6"/>
    <n v="6"/>
    <n v="30"/>
    <n v="8"/>
    <s v="Normal"/>
    <x v="1"/>
    <n v="72"/>
    <n v="5000"/>
    <s v="None"/>
    <x v="0"/>
    <x v="0"/>
    <x v="2"/>
    <x v="1"/>
    <x v="0"/>
    <x v="2"/>
    <x v="0"/>
  </r>
  <r>
    <n v="81"/>
    <x v="1"/>
    <n v="34"/>
    <x v="7"/>
    <n v="5.8"/>
    <n v="4"/>
    <n v="32"/>
    <n v="8"/>
    <s v="Overweight"/>
    <x v="9"/>
    <n v="81"/>
    <n v="5200"/>
    <s v="Sleep Apnea"/>
    <x v="0"/>
    <x v="1"/>
    <x v="2"/>
    <x v="1"/>
    <x v="2"/>
    <x v="1"/>
    <x v="0"/>
  </r>
  <r>
    <n v="82"/>
    <x v="1"/>
    <n v="34"/>
    <x v="7"/>
    <n v="5.8"/>
    <n v="4"/>
    <n v="32"/>
    <n v="8"/>
    <s v="Overweight"/>
    <x v="9"/>
    <n v="81"/>
    <n v="5200"/>
    <s v="Sleep Apnea"/>
    <x v="0"/>
    <x v="1"/>
    <x v="2"/>
    <x v="1"/>
    <x v="2"/>
    <x v="1"/>
    <x v="0"/>
  </r>
  <r>
    <n v="83"/>
    <x v="0"/>
    <n v="35"/>
    <x v="3"/>
    <n v="6.7"/>
    <n v="7"/>
    <n v="40"/>
    <n v="5"/>
    <s v="Overweight"/>
    <x v="10"/>
    <n v="70"/>
    <n v="5600"/>
    <s v="None"/>
    <x v="1"/>
    <x v="2"/>
    <x v="0"/>
    <x v="0"/>
    <x v="0"/>
    <x v="2"/>
    <x v="0"/>
  </r>
  <r>
    <n v="84"/>
    <x v="0"/>
    <n v="35"/>
    <x v="3"/>
    <n v="6.7"/>
    <n v="7"/>
    <n v="40"/>
    <n v="5"/>
    <s v="Overweight"/>
    <x v="10"/>
    <n v="70"/>
    <n v="5600"/>
    <s v="None"/>
    <x v="1"/>
    <x v="2"/>
    <x v="0"/>
    <x v="0"/>
    <x v="0"/>
    <x v="2"/>
    <x v="0"/>
  </r>
  <r>
    <n v="85"/>
    <x v="0"/>
    <n v="35"/>
    <x v="0"/>
    <n v="7.5"/>
    <n v="8"/>
    <n v="60"/>
    <n v="5"/>
    <s v="Normal Weight"/>
    <x v="3"/>
    <n v="70"/>
    <n v="8000"/>
    <s v="None"/>
    <x v="1"/>
    <x v="3"/>
    <x v="1"/>
    <x v="0"/>
    <x v="0"/>
    <x v="2"/>
    <x v="1"/>
  </r>
  <r>
    <n v="86"/>
    <x v="1"/>
    <n v="35"/>
    <x v="6"/>
    <n v="7.2"/>
    <n v="8"/>
    <n v="60"/>
    <n v="4"/>
    <s v="Normal"/>
    <x v="11"/>
    <n v="68"/>
    <n v="7000"/>
    <s v="None"/>
    <x v="1"/>
    <x v="3"/>
    <x v="1"/>
    <x v="2"/>
    <x v="3"/>
    <x v="3"/>
    <x v="3"/>
  </r>
  <r>
    <n v="87"/>
    <x v="0"/>
    <n v="35"/>
    <x v="5"/>
    <n v="7.2"/>
    <n v="8"/>
    <n v="60"/>
    <n v="4"/>
    <s v="Normal"/>
    <x v="1"/>
    <n v="65"/>
    <n v="5000"/>
    <s v="None"/>
    <x v="1"/>
    <x v="3"/>
    <x v="1"/>
    <x v="2"/>
    <x v="0"/>
    <x v="3"/>
    <x v="0"/>
  </r>
  <r>
    <n v="88"/>
    <x v="0"/>
    <n v="35"/>
    <x v="5"/>
    <n v="7.2"/>
    <n v="8"/>
    <n v="60"/>
    <n v="4"/>
    <s v="Normal"/>
    <x v="1"/>
    <n v="65"/>
    <n v="5000"/>
    <s v="None"/>
    <x v="1"/>
    <x v="3"/>
    <x v="1"/>
    <x v="2"/>
    <x v="0"/>
    <x v="3"/>
    <x v="0"/>
  </r>
  <r>
    <n v="89"/>
    <x v="0"/>
    <n v="35"/>
    <x v="5"/>
    <n v="7.3"/>
    <n v="8"/>
    <n v="60"/>
    <n v="4"/>
    <s v="Normal"/>
    <x v="1"/>
    <n v="65"/>
    <n v="5000"/>
    <s v="None"/>
    <x v="1"/>
    <x v="3"/>
    <x v="1"/>
    <x v="2"/>
    <x v="0"/>
    <x v="3"/>
    <x v="0"/>
  </r>
  <r>
    <n v="90"/>
    <x v="0"/>
    <n v="35"/>
    <x v="5"/>
    <n v="7.3"/>
    <n v="8"/>
    <n v="60"/>
    <n v="4"/>
    <s v="Normal"/>
    <x v="1"/>
    <n v="65"/>
    <n v="5000"/>
    <s v="None"/>
    <x v="1"/>
    <x v="3"/>
    <x v="1"/>
    <x v="2"/>
    <x v="0"/>
    <x v="3"/>
    <x v="0"/>
  </r>
  <r>
    <n v="91"/>
    <x v="0"/>
    <n v="35"/>
    <x v="5"/>
    <n v="7.3"/>
    <n v="8"/>
    <n v="60"/>
    <n v="4"/>
    <s v="Normal"/>
    <x v="1"/>
    <n v="65"/>
    <n v="5000"/>
    <s v="None"/>
    <x v="1"/>
    <x v="3"/>
    <x v="1"/>
    <x v="2"/>
    <x v="0"/>
    <x v="3"/>
    <x v="0"/>
  </r>
  <r>
    <n v="92"/>
    <x v="0"/>
    <n v="35"/>
    <x v="5"/>
    <n v="7.3"/>
    <n v="8"/>
    <n v="60"/>
    <n v="4"/>
    <s v="Normal"/>
    <x v="1"/>
    <n v="65"/>
    <n v="5000"/>
    <s v="None"/>
    <x v="1"/>
    <x v="3"/>
    <x v="1"/>
    <x v="2"/>
    <x v="0"/>
    <x v="3"/>
    <x v="0"/>
  </r>
  <r>
    <n v="93"/>
    <x v="0"/>
    <n v="35"/>
    <x v="0"/>
    <n v="7.5"/>
    <n v="8"/>
    <n v="60"/>
    <n v="5"/>
    <s v="Normal Weight"/>
    <x v="3"/>
    <n v="70"/>
    <n v="8000"/>
    <s v="None"/>
    <x v="1"/>
    <x v="3"/>
    <x v="1"/>
    <x v="0"/>
    <x v="0"/>
    <x v="2"/>
    <x v="1"/>
  </r>
  <r>
    <n v="94"/>
    <x v="0"/>
    <n v="35"/>
    <x v="8"/>
    <n v="7.4"/>
    <n v="7"/>
    <n v="60"/>
    <n v="5"/>
    <s v="Obese"/>
    <x v="12"/>
    <n v="84"/>
    <n v="3300"/>
    <s v="Sleep Apnea"/>
    <x v="1"/>
    <x v="2"/>
    <x v="1"/>
    <x v="0"/>
    <x v="2"/>
    <x v="1"/>
    <x v="2"/>
  </r>
  <r>
    <n v="95"/>
    <x v="1"/>
    <n v="36"/>
    <x v="6"/>
    <n v="7.2"/>
    <n v="8"/>
    <n v="60"/>
    <n v="4"/>
    <s v="Normal"/>
    <x v="11"/>
    <n v="68"/>
    <n v="7000"/>
    <s v="Insomnia"/>
    <x v="1"/>
    <x v="3"/>
    <x v="1"/>
    <x v="2"/>
    <x v="3"/>
    <x v="3"/>
    <x v="3"/>
  </r>
  <r>
    <n v="96"/>
    <x v="1"/>
    <n v="36"/>
    <x v="6"/>
    <n v="7.1"/>
    <n v="8"/>
    <n v="60"/>
    <n v="4"/>
    <s v="Normal"/>
    <x v="11"/>
    <n v="68"/>
    <n v="7000"/>
    <s v="None"/>
    <x v="1"/>
    <x v="3"/>
    <x v="1"/>
    <x v="2"/>
    <x v="3"/>
    <x v="3"/>
    <x v="3"/>
  </r>
  <r>
    <n v="97"/>
    <x v="1"/>
    <n v="36"/>
    <x v="6"/>
    <n v="7.2"/>
    <n v="8"/>
    <n v="60"/>
    <n v="4"/>
    <s v="Normal"/>
    <x v="11"/>
    <n v="68"/>
    <n v="7000"/>
    <s v="None"/>
    <x v="1"/>
    <x v="3"/>
    <x v="1"/>
    <x v="2"/>
    <x v="3"/>
    <x v="3"/>
    <x v="3"/>
  </r>
  <r>
    <n v="98"/>
    <x v="1"/>
    <n v="36"/>
    <x v="6"/>
    <n v="7.1"/>
    <n v="8"/>
    <n v="60"/>
    <n v="4"/>
    <s v="Normal"/>
    <x v="11"/>
    <n v="68"/>
    <n v="7000"/>
    <s v="None"/>
    <x v="1"/>
    <x v="3"/>
    <x v="1"/>
    <x v="2"/>
    <x v="3"/>
    <x v="3"/>
    <x v="3"/>
  </r>
  <r>
    <n v="99"/>
    <x v="1"/>
    <n v="36"/>
    <x v="3"/>
    <n v="7.1"/>
    <n v="8"/>
    <n v="60"/>
    <n v="4"/>
    <s v="Normal"/>
    <x v="11"/>
    <n v="68"/>
    <n v="7000"/>
    <s v="None"/>
    <x v="1"/>
    <x v="3"/>
    <x v="1"/>
    <x v="2"/>
    <x v="3"/>
    <x v="3"/>
    <x v="3"/>
  </r>
  <r>
    <n v="100"/>
    <x v="1"/>
    <n v="36"/>
    <x v="3"/>
    <n v="7.1"/>
    <n v="8"/>
    <n v="60"/>
    <n v="4"/>
    <s v="Normal"/>
    <x v="11"/>
    <n v="68"/>
    <n v="7000"/>
    <s v="None"/>
    <x v="1"/>
    <x v="3"/>
    <x v="1"/>
    <x v="2"/>
    <x v="3"/>
    <x v="3"/>
    <x v="3"/>
  </r>
  <r>
    <n v="101"/>
    <x v="1"/>
    <n v="36"/>
    <x v="3"/>
    <n v="7.2"/>
    <n v="8"/>
    <n v="60"/>
    <n v="4"/>
    <s v="Normal"/>
    <x v="11"/>
    <n v="68"/>
    <n v="7000"/>
    <s v="None"/>
    <x v="1"/>
    <x v="3"/>
    <x v="1"/>
    <x v="2"/>
    <x v="3"/>
    <x v="3"/>
    <x v="3"/>
  </r>
  <r>
    <n v="102"/>
    <x v="1"/>
    <n v="36"/>
    <x v="3"/>
    <n v="7.2"/>
    <n v="8"/>
    <n v="60"/>
    <n v="4"/>
    <s v="Normal"/>
    <x v="11"/>
    <n v="68"/>
    <n v="7000"/>
    <s v="None"/>
    <x v="1"/>
    <x v="3"/>
    <x v="1"/>
    <x v="2"/>
    <x v="3"/>
    <x v="3"/>
    <x v="3"/>
  </r>
  <r>
    <n v="103"/>
    <x v="1"/>
    <n v="36"/>
    <x v="3"/>
    <n v="7.2"/>
    <n v="8"/>
    <n v="60"/>
    <n v="4"/>
    <s v="Normal"/>
    <x v="11"/>
    <n v="68"/>
    <n v="7000"/>
    <s v="None"/>
    <x v="1"/>
    <x v="3"/>
    <x v="1"/>
    <x v="2"/>
    <x v="3"/>
    <x v="3"/>
    <x v="3"/>
  </r>
  <r>
    <n v="104"/>
    <x v="0"/>
    <n v="36"/>
    <x v="3"/>
    <n v="6.6"/>
    <n v="5"/>
    <n v="35"/>
    <n v="7"/>
    <s v="Overweight"/>
    <x v="13"/>
    <n v="74"/>
    <n v="4800"/>
    <s v="Sleep Apnea"/>
    <x v="1"/>
    <x v="1"/>
    <x v="2"/>
    <x v="1"/>
    <x v="0"/>
    <x v="2"/>
    <x v="0"/>
  </r>
  <r>
    <n v="105"/>
    <x v="1"/>
    <n v="36"/>
    <x v="3"/>
    <n v="7.2"/>
    <n v="8"/>
    <n v="60"/>
    <n v="4"/>
    <s v="Normal"/>
    <x v="11"/>
    <n v="68"/>
    <n v="7000"/>
    <s v="Sleep Apnea"/>
    <x v="1"/>
    <x v="3"/>
    <x v="1"/>
    <x v="2"/>
    <x v="3"/>
    <x v="3"/>
    <x v="3"/>
  </r>
  <r>
    <n v="106"/>
    <x v="0"/>
    <n v="36"/>
    <x v="3"/>
    <n v="6.6"/>
    <n v="5"/>
    <n v="35"/>
    <n v="7"/>
    <s v="Overweight"/>
    <x v="13"/>
    <n v="74"/>
    <n v="4800"/>
    <s v="Insomnia"/>
    <x v="1"/>
    <x v="1"/>
    <x v="2"/>
    <x v="1"/>
    <x v="0"/>
    <x v="2"/>
    <x v="0"/>
  </r>
  <r>
    <n v="107"/>
    <x v="1"/>
    <n v="37"/>
    <x v="4"/>
    <n v="6.1"/>
    <n v="6"/>
    <n v="42"/>
    <n v="6"/>
    <s v="Overweight"/>
    <x v="0"/>
    <n v="77"/>
    <n v="4200"/>
    <s v="None"/>
    <x v="1"/>
    <x v="0"/>
    <x v="0"/>
    <x v="0"/>
    <x v="0"/>
    <x v="0"/>
    <x v="0"/>
  </r>
  <r>
    <n v="108"/>
    <x v="0"/>
    <n v="37"/>
    <x v="5"/>
    <n v="7.8"/>
    <n v="8"/>
    <n v="70"/>
    <n v="4"/>
    <s v="Normal Weight"/>
    <x v="3"/>
    <n v="68"/>
    <n v="7000"/>
    <s v="None"/>
    <x v="1"/>
    <x v="3"/>
    <x v="3"/>
    <x v="2"/>
    <x v="0"/>
    <x v="3"/>
    <x v="3"/>
  </r>
  <r>
    <n v="109"/>
    <x v="0"/>
    <n v="37"/>
    <x v="5"/>
    <n v="7.8"/>
    <n v="8"/>
    <n v="70"/>
    <n v="4"/>
    <s v="Normal Weight"/>
    <x v="3"/>
    <n v="68"/>
    <n v="7000"/>
    <s v="None"/>
    <x v="1"/>
    <x v="3"/>
    <x v="3"/>
    <x v="2"/>
    <x v="0"/>
    <x v="3"/>
    <x v="3"/>
  </r>
  <r>
    <n v="110"/>
    <x v="0"/>
    <n v="37"/>
    <x v="8"/>
    <n v="7.4"/>
    <n v="8"/>
    <n v="60"/>
    <n v="5"/>
    <s v="Normal"/>
    <x v="14"/>
    <n v="68"/>
    <n v="8000"/>
    <s v="None"/>
    <x v="1"/>
    <x v="3"/>
    <x v="1"/>
    <x v="0"/>
    <x v="2"/>
    <x v="3"/>
    <x v="1"/>
  </r>
  <r>
    <n v="111"/>
    <x v="1"/>
    <n v="37"/>
    <x v="6"/>
    <n v="7.2"/>
    <n v="8"/>
    <n v="60"/>
    <n v="4"/>
    <s v="Normal"/>
    <x v="11"/>
    <n v="68"/>
    <n v="7000"/>
    <s v="None"/>
    <x v="1"/>
    <x v="3"/>
    <x v="1"/>
    <x v="2"/>
    <x v="3"/>
    <x v="3"/>
    <x v="3"/>
  </r>
  <r>
    <n v="112"/>
    <x v="0"/>
    <n v="37"/>
    <x v="8"/>
    <n v="7.4"/>
    <n v="8"/>
    <n v="60"/>
    <n v="5"/>
    <s v="Normal"/>
    <x v="14"/>
    <n v="68"/>
    <n v="8000"/>
    <s v="None"/>
    <x v="1"/>
    <x v="3"/>
    <x v="1"/>
    <x v="0"/>
    <x v="2"/>
    <x v="3"/>
    <x v="1"/>
  </r>
  <r>
    <n v="113"/>
    <x v="1"/>
    <n v="37"/>
    <x v="6"/>
    <n v="7.2"/>
    <n v="8"/>
    <n v="60"/>
    <n v="4"/>
    <s v="Normal"/>
    <x v="11"/>
    <n v="68"/>
    <n v="7000"/>
    <s v="None"/>
    <x v="1"/>
    <x v="3"/>
    <x v="1"/>
    <x v="2"/>
    <x v="3"/>
    <x v="3"/>
    <x v="3"/>
  </r>
  <r>
    <n v="114"/>
    <x v="0"/>
    <n v="37"/>
    <x v="8"/>
    <n v="7.4"/>
    <n v="8"/>
    <n v="60"/>
    <n v="5"/>
    <s v="Normal"/>
    <x v="14"/>
    <n v="68"/>
    <n v="8000"/>
    <s v="None"/>
    <x v="1"/>
    <x v="3"/>
    <x v="1"/>
    <x v="0"/>
    <x v="2"/>
    <x v="3"/>
    <x v="1"/>
  </r>
  <r>
    <n v="115"/>
    <x v="1"/>
    <n v="37"/>
    <x v="6"/>
    <n v="7.2"/>
    <n v="8"/>
    <n v="60"/>
    <n v="4"/>
    <s v="Normal"/>
    <x v="11"/>
    <n v="68"/>
    <n v="7000"/>
    <s v="None"/>
    <x v="1"/>
    <x v="3"/>
    <x v="1"/>
    <x v="2"/>
    <x v="3"/>
    <x v="3"/>
    <x v="3"/>
  </r>
  <r>
    <n v="116"/>
    <x v="1"/>
    <n v="37"/>
    <x v="6"/>
    <n v="7.2"/>
    <n v="8"/>
    <n v="60"/>
    <n v="4"/>
    <s v="Normal"/>
    <x v="11"/>
    <n v="68"/>
    <n v="7000"/>
    <s v="None"/>
    <x v="1"/>
    <x v="3"/>
    <x v="1"/>
    <x v="2"/>
    <x v="3"/>
    <x v="3"/>
    <x v="3"/>
  </r>
  <r>
    <n v="117"/>
    <x v="1"/>
    <n v="37"/>
    <x v="6"/>
    <n v="7.2"/>
    <n v="8"/>
    <n v="60"/>
    <n v="4"/>
    <s v="Normal"/>
    <x v="11"/>
    <n v="68"/>
    <n v="7000"/>
    <s v="None"/>
    <x v="1"/>
    <x v="3"/>
    <x v="1"/>
    <x v="2"/>
    <x v="3"/>
    <x v="3"/>
    <x v="3"/>
  </r>
  <r>
    <n v="118"/>
    <x v="1"/>
    <n v="37"/>
    <x v="6"/>
    <n v="7.2"/>
    <n v="8"/>
    <n v="60"/>
    <n v="4"/>
    <s v="Normal"/>
    <x v="11"/>
    <n v="68"/>
    <n v="7000"/>
    <s v="None"/>
    <x v="1"/>
    <x v="3"/>
    <x v="1"/>
    <x v="2"/>
    <x v="3"/>
    <x v="3"/>
    <x v="3"/>
  </r>
  <r>
    <n v="119"/>
    <x v="1"/>
    <n v="37"/>
    <x v="6"/>
    <n v="7.2"/>
    <n v="8"/>
    <n v="60"/>
    <n v="4"/>
    <s v="Normal"/>
    <x v="11"/>
    <n v="68"/>
    <n v="7000"/>
    <s v="None"/>
    <x v="1"/>
    <x v="3"/>
    <x v="1"/>
    <x v="2"/>
    <x v="3"/>
    <x v="3"/>
    <x v="3"/>
  </r>
  <r>
    <n v="120"/>
    <x v="1"/>
    <n v="37"/>
    <x v="6"/>
    <n v="7.2"/>
    <n v="8"/>
    <n v="60"/>
    <n v="4"/>
    <s v="Normal"/>
    <x v="11"/>
    <n v="68"/>
    <n v="7000"/>
    <s v="None"/>
    <x v="1"/>
    <x v="3"/>
    <x v="1"/>
    <x v="2"/>
    <x v="3"/>
    <x v="3"/>
    <x v="3"/>
  </r>
  <r>
    <n v="121"/>
    <x v="1"/>
    <n v="37"/>
    <x v="6"/>
    <n v="7.2"/>
    <n v="8"/>
    <n v="60"/>
    <n v="4"/>
    <s v="Normal"/>
    <x v="11"/>
    <n v="68"/>
    <n v="7000"/>
    <s v="None"/>
    <x v="1"/>
    <x v="3"/>
    <x v="1"/>
    <x v="2"/>
    <x v="3"/>
    <x v="3"/>
    <x v="3"/>
  </r>
  <r>
    <n v="122"/>
    <x v="1"/>
    <n v="37"/>
    <x v="6"/>
    <n v="7.2"/>
    <n v="8"/>
    <n v="60"/>
    <n v="4"/>
    <s v="Normal"/>
    <x v="11"/>
    <n v="68"/>
    <n v="7000"/>
    <s v="None"/>
    <x v="1"/>
    <x v="3"/>
    <x v="1"/>
    <x v="2"/>
    <x v="3"/>
    <x v="3"/>
    <x v="3"/>
  </r>
  <r>
    <n v="123"/>
    <x v="1"/>
    <n v="37"/>
    <x v="6"/>
    <n v="7.2"/>
    <n v="8"/>
    <n v="60"/>
    <n v="4"/>
    <s v="Normal"/>
    <x v="11"/>
    <n v="68"/>
    <n v="7000"/>
    <s v="None"/>
    <x v="1"/>
    <x v="3"/>
    <x v="1"/>
    <x v="2"/>
    <x v="3"/>
    <x v="3"/>
    <x v="3"/>
  </r>
  <r>
    <n v="124"/>
    <x v="1"/>
    <n v="37"/>
    <x v="6"/>
    <n v="7.2"/>
    <n v="8"/>
    <n v="60"/>
    <n v="4"/>
    <s v="Normal"/>
    <x v="11"/>
    <n v="68"/>
    <n v="7000"/>
    <s v="None"/>
    <x v="1"/>
    <x v="3"/>
    <x v="1"/>
    <x v="2"/>
    <x v="3"/>
    <x v="3"/>
    <x v="3"/>
  </r>
  <r>
    <n v="125"/>
    <x v="1"/>
    <n v="37"/>
    <x v="6"/>
    <n v="7.2"/>
    <n v="8"/>
    <n v="60"/>
    <n v="4"/>
    <s v="Normal"/>
    <x v="11"/>
    <n v="68"/>
    <n v="7000"/>
    <s v="None"/>
    <x v="1"/>
    <x v="3"/>
    <x v="1"/>
    <x v="2"/>
    <x v="3"/>
    <x v="3"/>
    <x v="3"/>
  </r>
  <r>
    <n v="126"/>
    <x v="1"/>
    <n v="37"/>
    <x v="4"/>
    <n v="7.5"/>
    <n v="8"/>
    <n v="60"/>
    <n v="4"/>
    <s v="Normal Weight"/>
    <x v="3"/>
    <n v="70"/>
    <n v="8000"/>
    <s v="None"/>
    <x v="1"/>
    <x v="3"/>
    <x v="1"/>
    <x v="2"/>
    <x v="0"/>
    <x v="2"/>
    <x v="1"/>
  </r>
  <r>
    <n v="127"/>
    <x v="0"/>
    <n v="38"/>
    <x v="8"/>
    <n v="7.3"/>
    <n v="8"/>
    <n v="60"/>
    <n v="5"/>
    <s v="Normal"/>
    <x v="14"/>
    <n v="68"/>
    <n v="8000"/>
    <s v="None"/>
    <x v="1"/>
    <x v="3"/>
    <x v="1"/>
    <x v="0"/>
    <x v="2"/>
    <x v="3"/>
    <x v="1"/>
  </r>
  <r>
    <n v="128"/>
    <x v="1"/>
    <n v="38"/>
    <x v="6"/>
    <n v="7.1"/>
    <n v="8"/>
    <n v="60"/>
    <n v="4"/>
    <s v="Normal"/>
    <x v="11"/>
    <n v="68"/>
    <n v="7000"/>
    <s v="None"/>
    <x v="1"/>
    <x v="3"/>
    <x v="1"/>
    <x v="2"/>
    <x v="3"/>
    <x v="3"/>
    <x v="3"/>
  </r>
  <r>
    <n v="129"/>
    <x v="0"/>
    <n v="38"/>
    <x v="8"/>
    <n v="7.3"/>
    <n v="8"/>
    <n v="60"/>
    <n v="5"/>
    <s v="Normal"/>
    <x v="14"/>
    <n v="68"/>
    <n v="8000"/>
    <s v="None"/>
    <x v="1"/>
    <x v="3"/>
    <x v="1"/>
    <x v="0"/>
    <x v="2"/>
    <x v="3"/>
    <x v="1"/>
  </r>
  <r>
    <n v="130"/>
    <x v="0"/>
    <n v="38"/>
    <x v="8"/>
    <n v="7.3"/>
    <n v="8"/>
    <n v="60"/>
    <n v="5"/>
    <s v="Normal"/>
    <x v="14"/>
    <n v="68"/>
    <n v="8000"/>
    <s v="None"/>
    <x v="1"/>
    <x v="3"/>
    <x v="1"/>
    <x v="0"/>
    <x v="2"/>
    <x v="3"/>
    <x v="1"/>
  </r>
  <r>
    <n v="131"/>
    <x v="1"/>
    <n v="38"/>
    <x v="6"/>
    <n v="7.1"/>
    <n v="8"/>
    <n v="60"/>
    <n v="4"/>
    <s v="Normal"/>
    <x v="11"/>
    <n v="68"/>
    <n v="7000"/>
    <s v="None"/>
    <x v="1"/>
    <x v="3"/>
    <x v="1"/>
    <x v="2"/>
    <x v="3"/>
    <x v="3"/>
    <x v="3"/>
  </r>
  <r>
    <n v="132"/>
    <x v="0"/>
    <n v="38"/>
    <x v="8"/>
    <n v="7.3"/>
    <n v="8"/>
    <n v="60"/>
    <n v="5"/>
    <s v="Normal"/>
    <x v="14"/>
    <n v="68"/>
    <n v="8000"/>
    <s v="None"/>
    <x v="1"/>
    <x v="3"/>
    <x v="1"/>
    <x v="0"/>
    <x v="2"/>
    <x v="3"/>
    <x v="1"/>
  </r>
  <r>
    <n v="133"/>
    <x v="0"/>
    <n v="38"/>
    <x v="8"/>
    <n v="7.3"/>
    <n v="8"/>
    <n v="60"/>
    <n v="5"/>
    <s v="Normal"/>
    <x v="14"/>
    <n v="68"/>
    <n v="8000"/>
    <s v="None"/>
    <x v="1"/>
    <x v="3"/>
    <x v="1"/>
    <x v="0"/>
    <x v="2"/>
    <x v="3"/>
    <x v="1"/>
  </r>
  <r>
    <n v="134"/>
    <x v="1"/>
    <n v="38"/>
    <x v="6"/>
    <n v="7.1"/>
    <n v="8"/>
    <n v="60"/>
    <n v="4"/>
    <s v="Normal"/>
    <x v="11"/>
    <n v="68"/>
    <n v="7000"/>
    <s v="None"/>
    <x v="1"/>
    <x v="3"/>
    <x v="1"/>
    <x v="2"/>
    <x v="3"/>
    <x v="3"/>
    <x v="3"/>
  </r>
  <r>
    <n v="135"/>
    <x v="0"/>
    <n v="38"/>
    <x v="8"/>
    <n v="7.3"/>
    <n v="8"/>
    <n v="60"/>
    <n v="5"/>
    <s v="Normal"/>
    <x v="14"/>
    <n v="68"/>
    <n v="8000"/>
    <s v="None"/>
    <x v="1"/>
    <x v="3"/>
    <x v="1"/>
    <x v="0"/>
    <x v="2"/>
    <x v="3"/>
    <x v="1"/>
  </r>
  <r>
    <n v="136"/>
    <x v="0"/>
    <n v="38"/>
    <x v="8"/>
    <n v="7.3"/>
    <n v="8"/>
    <n v="60"/>
    <n v="5"/>
    <s v="Normal"/>
    <x v="14"/>
    <n v="68"/>
    <n v="8000"/>
    <s v="None"/>
    <x v="1"/>
    <x v="3"/>
    <x v="1"/>
    <x v="0"/>
    <x v="2"/>
    <x v="3"/>
    <x v="1"/>
  </r>
  <r>
    <n v="137"/>
    <x v="1"/>
    <n v="38"/>
    <x v="6"/>
    <n v="7.1"/>
    <n v="8"/>
    <n v="60"/>
    <n v="4"/>
    <s v="Normal"/>
    <x v="11"/>
    <n v="68"/>
    <n v="7000"/>
    <s v="None"/>
    <x v="1"/>
    <x v="3"/>
    <x v="1"/>
    <x v="2"/>
    <x v="3"/>
    <x v="3"/>
    <x v="3"/>
  </r>
  <r>
    <n v="138"/>
    <x v="0"/>
    <n v="38"/>
    <x v="8"/>
    <n v="7.1"/>
    <n v="8"/>
    <n v="60"/>
    <n v="5"/>
    <s v="Normal"/>
    <x v="14"/>
    <n v="68"/>
    <n v="8000"/>
    <s v="None"/>
    <x v="1"/>
    <x v="3"/>
    <x v="1"/>
    <x v="0"/>
    <x v="2"/>
    <x v="3"/>
    <x v="1"/>
  </r>
  <r>
    <n v="139"/>
    <x v="1"/>
    <n v="38"/>
    <x v="6"/>
    <n v="7.1"/>
    <n v="8"/>
    <n v="60"/>
    <n v="4"/>
    <s v="Normal"/>
    <x v="11"/>
    <n v="68"/>
    <n v="7000"/>
    <s v="None"/>
    <x v="1"/>
    <x v="3"/>
    <x v="1"/>
    <x v="2"/>
    <x v="3"/>
    <x v="3"/>
    <x v="3"/>
  </r>
  <r>
    <n v="140"/>
    <x v="0"/>
    <n v="38"/>
    <x v="8"/>
    <n v="7.1"/>
    <n v="8"/>
    <n v="60"/>
    <n v="5"/>
    <s v="Normal"/>
    <x v="14"/>
    <n v="68"/>
    <n v="8000"/>
    <s v="None"/>
    <x v="1"/>
    <x v="3"/>
    <x v="1"/>
    <x v="0"/>
    <x v="2"/>
    <x v="3"/>
    <x v="1"/>
  </r>
  <r>
    <n v="141"/>
    <x v="1"/>
    <n v="38"/>
    <x v="6"/>
    <n v="7.1"/>
    <n v="8"/>
    <n v="60"/>
    <n v="4"/>
    <s v="Normal"/>
    <x v="11"/>
    <n v="68"/>
    <n v="7000"/>
    <s v="None"/>
    <x v="1"/>
    <x v="3"/>
    <x v="1"/>
    <x v="2"/>
    <x v="3"/>
    <x v="3"/>
    <x v="3"/>
  </r>
  <r>
    <n v="142"/>
    <x v="0"/>
    <n v="38"/>
    <x v="8"/>
    <n v="7.1"/>
    <n v="8"/>
    <n v="60"/>
    <n v="5"/>
    <s v="Normal"/>
    <x v="14"/>
    <n v="68"/>
    <n v="8000"/>
    <s v="None"/>
    <x v="1"/>
    <x v="3"/>
    <x v="1"/>
    <x v="0"/>
    <x v="2"/>
    <x v="3"/>
    <x v="1"/>
  </r>
  <r>
    <n v="143"/>
    <x v="1"/>
    <n v="38"/>
    <x v="6"/>
    <n v="7.1"/>
    <n v="8"/>
    <n v="60"/>
    <n v="4"/>
    <s v="Normal"/>
    <x v="11"/>
    <n v="68"/>
    <n v="7000"/>
    <s v="None"/>
    <x v="1"/>
    <x v="3"/>
    <x v="1"/>
    <x v="2"/>
    <x v="3"/>
    <x v="3"/>
    <x v="3"/>
  </r>
  <r>
    <n v="144"/>
    <x v="1"/>
    <n v="38"/>
    <x v="6"/>
    <n v="7.1"/>
    <n v="8"/>
    <n v="60"/>
    <n v="4"/>
    <s v="Normal"/>
    <x v="11"/>
    <n v="68"/>
    <n v="7000"/>
    <s v="None"/>
    <x v="1"/>
    <x v="3"/>
    <x v="1"/>
    <x v="2"/>
    <x v="3"/>
    <x v="3"/>
    <x v="3"/>
  </r>
  <r>
    <n v="145"/>
    <x v="0"/>
    <n v="38"/>
    <x v="8"/>
    <n v="7.1"/>
    <n v="8"/>
    <n v="60"/>
    <n v="5"/>
    <s v="Normal"/>
    <x v="14"/>
    <n v="68"/>
    <n v="8000"/>
    <s v="Sleep Apnea"/>
    <x v="1"/>
    <x v="3"/>
    <x v="1"/>
    <x v="0"/>
    <x v="2"/>
    <x v="3"/>
    <x v="1"/>
  </r>
  <r>
    <n v="146"/>
    <x v="1"/>
    <n v="38"/>
    <x v="8"/>
    <n v="7.4"/>
    <n v="7"/>
    <n v="60"/>
    <n v="5"/>
    <s v="Obese"/>
    <x v="12"/>
    <n v="84"/>
    <n v="3300"/>
    <s v="Sleep Apnea"/>
    <x v="1"/>
    <x v="2"/>
    <x v="1"/>
    <x v="0"/>
    <x v="2"/>
    <x v="1"/>
    <x v="2"/>
  </r>
  <r>
    <n v="147"/>
    <x v="0"/>
    <n v="39"/>
    <x v="8"/>
    <n v="7.2"/>
    <n v="8"/>
    <n v="60"/>
    <n v="5"/>
    <s v="Normal"/>
    <x v="14"/>
    <n v="68"/>
    <n v="8000"/>
    <s v="Insomnia"/>
    <x v="1"/>
    <x v="3"/>
    <x v="1"/>
    <x v="0"/>
    <x v="2"/>
    <x v="3"/>
    <x v="1"/>
  </r>
  <r>
    <n v="148"/>
    <x v="0"/>
    <n v="39"/>
    <x v="5"/>
    <n v="6.5"/>
    <n v="5"/>
    <n v="40"/>
    <n v="7"/>
    <s v="Overweight"/>
    <x v="4"/>
    <n v="80"/>
    <n v="4000"/>
    <s v="Insomnia"/>
    <x v="1"/>
    <x v="1"/>
    <x v="0"/>
    <x v="1"/>
    <x v="2"/>
    <x v="1"/>
    <x v="0"/>
  </r>
  <r>
    <n v="149"/>
    <x v="1"/>
    <n v="39"/>
    <x v="8"/>
    <n v="6.9"/>
    <n v="7"/>
    <n v="50"/>
    <n v="6"/>
    <s v="Normal Weight"/>
    <x v="8"/>
    <n v="75"/>
    <n v="5500"/>
    <s v="None"/>
    <x v="1"/>
    <x v="2"/>
    <x v="1"/>
    <x v="0"/>
    <x v="0"/>
    <x v="0"/>
    <x v="0"/>
  </r>
  <r>
    <n v="150"/>
    <x v="1"/>
    <n v="39"/>
    <x v="6"/>
    <n v="8"/>
    <n v="9"/>
    <n v="80"/>
    <n v="3"/>
    <s v="Normal Weight"/>
    <x v="15"/>
    <n v="67"/>
    <n v="7500"/>
    <s v="None"/>
    <x v="1"/>
    <x v="3"/>
    <x v="4"/>
    <x v="2"/>
    <x v="3"/>
    <x v="3"/>
    <x v="3"/>
  </r>
  <r>
    <n v="151"/>
    <x v="1"/>
    <n v="39"/>
    <x v="6"/>
    <n v="8"/>
    <n v="9"/>
    <n v="80"/>
    <n v="3"/>
    <s v="Normal Weight"/>
    <x v="15"/>
    <n v="67"/>
    <n v="7500"/>
    <s v="None"/>
    <x v="1"/>
    <x v="3"/>
    <x v="4"/>
    <x v="2"/>
    <x v="3"/>
    <x v="3"/>
    <x v="3"/>
  </r>
  <r>
    <n v="152"/>
    <x v="0"/>
    <n v="39"/>
    <x v="8"/>
    <n v="7.2"/>
    <n v="8"/>
    <n v="60"/>
    <n v="5"/>
    <s v="Normal"/>
    <x v="14"/>
    <n v="68"/>
    <n v="8000"/>
    <s v="None"/>
    <x v="1"/>
    <x v="3"/>
    <x v="1"/>
    <x v="0"/>
    <x v="2"/>
    <x v="3"/>
    <x v="1"/>
  </r>
  <r>
    <n v="153"/>
    <x v="0"/>
    <n v="39"/>
    <x v="8"/>
    <n v="7.2"/>
    <n v="8"/>
    <n v="60"/>
    <n v="5"/>
    <s v="Normal"/>
    <x v="14"/>
    <n v="68"/>
    <n v="8000"/>
    <s v="None"/>
    <x v="1"/>
    <x v="3"/>
    <x v="1"/>
    <x v="0"/>
    <x v="2"/>
    <x v="3"/>
    <x v="1"/>
  </r>
  <r>
    <n v="154"/>
    <x v="0"/>
    <n v="39"/>
    <x v="8"/>
    <n v="7.2"/>
    <n v="8"/>
    <n v="60"/>
    <n v="5"/>
    <s v="Normal"/>
    <x v="14"/>
    <n v="68"/>
    <n v="8000"/>
    <s v="None"/>
    <x v="1"/>
    <x v="3"/>
    <x v="1"/>
    <x v="0"/>
    <x v="2"/>
    <x v="3"/>
    <x v="1"/>
  </r>
  <r>
    <n v="155"/>
    <x v="0"/>
    <n v="39"/>
    <x v="8"/>
    <n v="7.2"/>
    <n v="8"/>
    <n v="60"/>
    <n v="5"/>
    <s v="Normal"/>
    <x v="14"/>
    <n v="68"/>
    <n v="8000"/>
    <s v="None"/>
    <x v="1"/>
    <x v="3"/>
    <x v="1"/>
    <x v="0"/>
    <x v="2"/>
    <x v="3"/>
    <x v="1"/>
  </r>
  <r>
    <n v="156"/>
    <x v="0"/>
    <n v="39"/>
    <x v="8"/>
    <n v="7.2"/>
    <n v="8"/>
    <n v="60"/>
    <n v="5"/>
    <s v="Normal"/>
    <x v="14"/>
    <n v="68"/>
    <n v="8000"/>
    <s v="None"/>
    <x v="1"/>
    <x v="3"/>
    <x v="1"/>
    <x v="0"/>
    <x v="2"/>
    <x v="3"/>
    <x v="1"/>
  </r>
  <r>
    <n v="157"/>
    <x v="0"/>
    <n v="39"/>
    <x v="8"/>
    <n v="7.2"/>
    <n v="8"/>
    <n v="60"/>
    <n v="5"/>
    <s v="Normal"/>
    <x v="14"/>
    <n v="68"/>
    <n v="8000"/>
    <s v="None"/>
    <x v="1"/>
    <x v="3"/>
    <x v="1"/>
    <x v="0"/>
    <x v="2"/>
    <x v="3"/>
    <x v="1"/>
  </r>
  <r>
    <n v="158"/>
    <x v="0"/>
    <n v="39"/>
    <x v="8"/>
    <n v="7.2"/>
    <n v="8"/>
    <n v="60"/>
    <n v="5"/>
    <s v="Normal"/>
    <x v="14"/>
    <n v="68"/>
    <n v="8000"/>
    <s v="None"/>
    <x v="1"/>
    <x v="3"/>
    <x v="1"/>
    <x v="0"/>
    <x v="2"/>
    <x v="3"/>
    <x v="1"/>
  </r>
  <r>
    <n v="159"/>
    <x v="0"/>
    <n v="39"/>
    <x v="8"/>
    <n v="7.2"/>
    <n v="8"/>
    <n v="60"/>
    <n v="5"/>
    <s v="Normal"/>
    <x v="14"/>
    <n v="68"/>
    <n v="8000"/>
    <s v="None"/>
    <x v="1"/>
    <x v="3"/>
    <x v="1"/>
    <x v="0"/>
    <x v="2"/>
    <x v="3"/>
    <x v="1"/>
  </r>
  <r>
    <n v="160"/>
    <x v="0"/>
    <n v="39"/>
    <x v="8"/>
    <n v="7.2"/>
    <n v="8"/>
    <n v="60"/>
    <n v="5"/>
    <s v="Normal"/>
    <x v="14"/>
    <n v="68"/>
    <n v="8000"/>
    <s v="None"/>
    <x v="1"/>
    <x v="3"/>
    <x v="1"/>
    <x v="0"/>
    <x v="2"/>
    <x v="3"/>
    <x v="1"/>
  </r>
  <r>
    <n v="161"/>
    <x v="0"/>
    <n v="39"/>
    <x v="8"/>
    <n v="7.2"/>
    <n v="8"/>
    <n v="60"/>
    <n v="5"/>
    <s v="Normal"/>
    <x v="14"/>
    <n v="68"/>
    <n v="8000"/>
    <s v="None"/>
    <x v="1"/>
    <x v="3"/>
    <x v="1"/>
    <x v="0"/>
    <x v="2"/>
    <x v="3"/>
    <x v="1"/>
  </r>
  <r>
    <n v="162"/>
    <x v="1"/>
    <n v="40"/>
    <x v="6"/>
    <n v="7.2"/>
    <n v="8"/>
    <n v="55"/>
    <n v="6"/>
    <s v="Normal Weight"/>
    <x v="16"/>
    <n v="73"/>
    <n v="7300"/>
    <s v="None"/>
    <x v="1"/>
    <x v="3"/>
    <x v="1"/>
    <x v="0"/>
    <x v="3"/>
    <x v="2"/>
    <x v="3"/>
  </r>
  <r>
    <n v="163"/>
    <x v="1"/>
    <n v="40"/>
    <x v="6"/>
    <n v="7.2"/>
    <n v="8"/>
    <n v="55"/>
    <n v="6"/>
    <s v="Normal Weight"/>
    <x v="16"/>
    <n v="73"/>
    <n v="7300"/>
    <s v="None"/>
    <x v="1"/>
    <x v="3"/>
    <x v="1"/>
    <x v="0"/>
    <x v="3"/>
    <x v="2"/>
    <x v="3"/>
  </r>
  <r>
    <n v="164"/>
    <x v="0"/>
    <n v="40"/>
    <x v="8"/>
    <n v="7.9"/>
    <n v="8"/>
    <n v="90"/>
    <n v="5"/>
    <s v="Normal"/>
    <x v="14"/>
    <n v="68"/>
    <n v="8000"/>
    <s v="None"/>
    <x v="1"/>
    <x v="3"/>
    <x v="4"/>
    <x v="0"/>
    <x v="2"/>
    <x v="3"/>
    <x v="1"/>
  </r>
  <r>
    <n v="165"/>
    <x v="0"/>
    <n v="40"/>
    <x v="8"/>
    <n v="7.9"/>
    <n v="8"/>
    <n v="90"/>
    <n v="5"/>
    <s v="Normal"/>
    <x v="14"/>
    <n v="68"/>
    <n v="8000"/>
    <s v="None"/>
    <x v="1"/>
    <x v="3"/>
    <x v="4"/>
    <x v="0"/>
    <x v="2"/>
    <x v="3"/>
    <x v="1"/>
  </r>
  <r>
    <n v="166"/>
    <x v="0"/>
    <n v="41"/>
    <x v="8"/>
    <n v="7.6"/>
    <n v="8"/>
    <n v="90"/>
    <n v="5"/>
    <s v="Normal"/>
    <x v="14"/>
    <n v="70"/>
    <n v="8000"/>
    <s v="Insomnia"/>
    <x v="1"/>
    <x v="3"/>
    <x v="4"/>
    <x v="0"/>
    <x v="2"/>
    <x v="2"/>
    <x v="1"/>
  </r>
  <r>
    <n v="167"/>
    <x v="0"/>
    <n v="41"/>
    <x v="5"/>
    <n v="7.3"/>
    <n v="8"/>
    <n v="70"/>
    <n v="6"/>
    <s v="Normal Weight"/>
    <x v="17"/>
    <n v="72"/>
    <n v="6200"/>
    <s v="None"/>
    <x v="1"/>
    <x v="3"/>
    <x v="3"/>
    <x v="0"/>
    <x v="0"/>
    <x v="2"/>
    <x v="3"/>
  </r>
  <r>
    <n v="168"/>
    <x v="0"/>
    <n v="41"/>
    <x v="8"/>
    <n v="7.1"/>
    <n v="7"/>
    <n v="55"/>
    <n v="6"/>
    <s v="Overweight"/>
    <x v="18"/>
    <n v="72"/>
    <n v="6000"/>
    <s v="None"/>
    <x v="1"/>
    <x v="2"/>
    <x v="1"/>
    <x v="0"/>
    <x v="0"/>
    <x v="2"/>
    <x v="3"/>
  </r>
  <r>
    <n v="169"/>
    <x v="0"/>
    <n v="41"/>
    <x v="8"/>
    <n v="7.1"/>
    <n v="7"/>
    <n v="55"/>
    <n v="6"/>
    <s v="Overweight"/>
    <x v="18"/>
    <n v="72"/>
    <n v="6000"/>
    <s v="None"/>
    <x v="1"/>
    <x v="2"/>
    <x v="1"/>
    <x v="0"/>
    <x v="0"/>
    <x v="2"/>
    <x v="3"/>
  </r>
  <r>
    <n v="170"/>
    <x v="0"/>
    <n v="41"/>
    <x v="8"/>
    <n v="7.7"/>
    <n v="8"/>
    <n v="90"/>
    <n v="5"/>
    <s v="Normal"/>
    <x v="14"/>
    <n v="70"/>
    <n v="8000"/>
    <s v="None"/>
    <x v="1"/>
    <x v="3"/>
    <x v="4"/>
    <x v="0"/>
    <x v="2"/>
    <x v="2"/>
    <x v="1"/>
  </r>
  <r>
    <n v="171"/>
    <x v="0"/>
    <n v="41"/>
    <x v="8"/>
    <n v="7.7"/>
    <n v="8"/>
    <n v="90"/>
    <n v="5"/>
    <s v="Normal"/>
    <x v="14"/>
    <n v="70"/>
    <n v="8000"/>
    <s v="None"/>
    <x v="1"/>
    <x v="3"/>
    <x v="4"/>
    <x v="0"/>
    <x v="2"/>
    <x v="2"/>
    <x v="1"/>
  </r>
  <r>
    <n v="172"/>
    <x v="0"/>
    <n v="41"/>
    <x v="8"/>
    <n v="7.7"/>
    <n v="8"/>
    <n v="90"/>
    <n v="5"/>
    <s v="Normal"/>
    <x v="14"/>
    <n v="70"/>
    <n v="8000"/>
    <s v="None"/>
    <x v="1"/>
    <x v="3"/>
    <x v="4"/>
    <x v="0"/>
    <x v="2"/>
    <x v="2"/>
    <x v="1"/>
  </r>
  <r>
    <n v="173"/>
    <x v="0"/>
    <n v="41"/>
    <x v="8"/>
    <n v="7.7"/>
    <n v="8"/>
    <n v="90"/>
    <n v="5"/>
    <s v="Normal"/>
    <x v="14"/>
    <n v="70"/>
    <n v="8000"/>
    <s v="None"/>
    <x v="1"/>
    <x v="3"/>
    <x v="4"/>
    <x v="0"/>
    <x v="2"/>
    <x v="2"/>
    <x v="1"/>
  </r>
  <r>
    <n v="174"/>
    <x v="0"/>
    <n v="41"/>
    <x v="8"/>
    <n v="7.7"/>
    <n v="8"/>
    <n v="90"/>
    <n v="5"/>
    <s v="Normal"/>
    <x v="14"/>
    <n v="70"/>
    <n v="8000"/>
    <s v="None"/>
    <x v="1"/>
    <x v="3"/>
    <x v="4"/>
    <x v="0"/>
    <x v="2"/>
    <x v="2"/>
    <x v="1"/>
  </r>
  <r>
    <n v="175"/>
    <x v="0"/>
    <n v="41"/>
    <x v="8"/>
    <n v="7.6"/>
    <n v="8"/>
    <n v="90"/>
    <n v="5"/>
    <s v="Normal"/>
    <x v="14"/>
    <n v="70"/>
    <n v="8000"/>
    <s v="None"/>
    <x v="1"/>
    <x v="3"/>
    <x v="4"/>
    <x v="0"/>
    <x v="2"/>
    <x v="2"/>
    <x v="1"/>
  </r>
  <r>
    <n v="176"/>
    <x v="0"/>
    <n v="41"/>
    <x v="8"/>
    <n v="7.6"/>
    <n v="8"/>
    <n v="90"/>
    <n v="5"/>
    <s v="Normal"/>
    <x v="14"/>
    <n v="70"/>
    <n v="8000"/>
    <s v="None"/>
    <x v="1"/>
    <x v="3"/>
    <x v="4"/>
    <x v="0"/>
    <x v="2"/>
    <x v="2"/>
    <x v="1"/>
  </r>
  <r>
    <n v="177"/>
    <x v="0"/>
    <n v="41"/>
    <x v="8"/>
    <n v="7.6"/>
    <n v="8"/>
    <n v="90"/>
    <n v="5"/>
    <s v="Normal"/>
    <x v="14"/>
    <n v="70"/>
    <n v="8000"/>
    <s v="None"/>
    <x v="1"/>
    <x v="3"/>
    <x v="4"/>
    <x v="0"/>
    <x v="2"/>
    <x v="2"/>
    <x v="1"/>
  </r>
  <r>
    <n v="178"/>
    <x v="0"/>
    <n v="42"/>
    <x v="9"/>
    <n v="6.5"/>
    <n v="6"/>
    <n v="45"/>
    <n v="7"/>
    <s v="Overweight"/>
    <x v="14"/>
    <n v="72"/>
    <n v="6000"/>
    <s v="Insomnia"/>
    <x v="1"/>
    <x v="0"/>
    <x v="0"/>
    <x v="1"/>
    <x v="2"/>
    <x v="2"/>
    <x v="3"/>
  </r>
  <r>
    <n v="179"/>
    <x v="0"/>
    <n v="42"/>
    <x v="8"/>
    <n v="7.8"/>
    <n v="8"/>
    <n v="90"/>
    <n v="5"/>
    <s v="Normal"/>
    <x v="14"/>
    <n v="70"/>
    <n v="8000"/>
    <s v="None"/>
    <x v="1"/>
    <x v="3"/>
    <x v="4"/>
    <x v="0"/>
    <x v="2"/>
    <x v="2"/>
    <x v="1"/>
  </r>
  <r>
    <n v="180"/>
    <x v="0"/>
    <n v="42"/>
    <x v="8"/>
    <n v="7.8"/>
    <n v="8"/>
    <n v="90"/>
    <n v="5"/>
    <s v="Normal"/>
    <x v="14"/>
    <n v="70"/>
    <n v="8000"/>
    <s v="None"/>
    <x v="1"/>
    <x v="3"/>
    <x v="4"/>
    <x v="0"/>
    <x v="2"/>
    <x v="2"/>
    <x v="1"/>
  </r>
  <r>
    <n v="181"/>
    <x v="0"/>
    <n v="42"/>
    <x v="8"/>
    <n v="7.8"/>
    <n v="8"/>
    <n v="90"/>
    <n v="5"/>
    <s v="Normal"/>
    <x v="14"/>
    <n v="70"/>
    <n v="8000"/>
    <s v="None"/>
    <x v="1"/>
    <x v="3"/>
    <x v="4"/>
    <x v="0"/>
    <x v="2"/>
    <x v="2"/>
    <x v="1"/>
  </r>
  <r>
    <n v="182"/>
    <x v="0"/>
    <n v="42"/>
    <x v="8"/>
    <n v="7.8"/>
    <n v="8"/>
    <n v="90"/>
    <n v="5"/>
    <s v="Normal"/>
    <x v="14"/>
    <n v="70"/>
    <n v="8000"/>
    <s v="None"/>
    <x v="1"/>
    <x v="3"/>
    <x v="4"/>
    <x v="0"/>
    <x v="2"/>
    <x v="2"/>
    <x v="1"/>
  </r>
  <r>
    <n v="183"/>
    <x v="0"/>
    <n v="42"/>
    <x v="8"/>
    <n v="7.8"/>
    <n v="8"/>
    <n v="90"/>
    <n v="5"/>
    <s v="Normal"/>
    <x v="14"/>
    <n v="70"/>
    <n v="8000"/>
    <s v="None"/>
    <x v="1"/>
    <x v="3"/>
    <x v="4"/>
    <x v="0"/>
    <x v="2"/>
    <x v="2"/>
    <x v="1"/>
  </r>
  <r>
    <n v="184"/>
    <x v="0"/>
    <n v="42"/>
    <x v="8"/>
    <n v="7.8"/>
    <n v="8"/>
    <n v="90"/>
    <n v="5"/>
    <s v="Normal"/>
    <x v="14"/>
    <n v="70"/>
    <n v="8000"/>
    <s v="None"/>
    <x v="1"/>
    <x v="3"/>
    <x v="4"/>
    <x v="0"/>
    <x v="2"/>
    <x v="2"/>
    <x v="1"/>
  </r>
  <r>
    <n v="185"/>
    <x v="1"/>
    <n v="42"/>
    <x v="3"/>
    <n v="6.8"/>
    <n v="6"/>
    <n v="45"/>
    <n v="7"/>
    <s v="Overweight"/>
    <x v="14"/>
    <n v="78"/>
    <n v="5000"/>
    <s v="Sleep Apnea"/>
    <x v="1"/>
    <x v="0"/>
    <x v="0"/>
    <x v="1"/>
    <x v="2"/>
    <x v="0"/>
    <x v="0"/>
  </r>
  <r>
    <n v="186"/>
    <x v="1"/>
    <n v="42"/>
    <x v="3"/>
    <n v="6.8"/>
    <n v="6"/>
    <n v="45"/>
    <n v="7"/>
    <s v="Overweight"/>
    <x v="14"/>
    <n v="78"/>
    <n v="5000"/>
    <s v="Sleep Apnea"/>
    <x v="1"/>
    <x v="0"/>
    <x v="0"/>
    <x v="1"/>
    <x v="2"/>
    <x v="0"/>
    <x v="0"/>
  </r>
  <r>
    <n v="187"/>
    <x v="1"/>
    <n v="43"/>
    <x v="3"/>
    <n v="6.7"/>
    <n v="7"/>
    <n v="45"/>
    <n v="4"/>
    <s v="Overweight"/>
    <x v="19"/>
    <n v="65"/>
    <n v="6000"/>
    <s v="Insomnia"/>
    <x v="1"/>
    <x v="2"/>
    <x v="0"/>
    <x v="2"/>
    <x v="2"/>
    <x v="3"/>
    <x v="3"/>
  </r>
  <r>
    <n v="188"/>
    <x v="0"/>
    <n v="43"/>
    <x v="9"/>
    <n v="6.3"/>
    <n v="6"/>
    <n v="45"/>
    <n v="7"/>
    <s v="Overweight"/>
    <x v="14"/>
    <n v="72"/>
    <n v="6000"/>
    <s v="Insomnia"/>
    <x v="1"/>
    <x v="0"/>
    <x v="0"/>
    <x v="1"/>
    <x v="2"/>
    <x v="2"/>
    <x v="3"/>
  </r>
  <r>
    <n v="189"/>
    <x v="1"/>
    <n v="43"/>
    <x v="3"/>
    <n v="6.7"/>
    <n v="7"/>
    <n v="45"/>
    <n v="4"/>
    <s v="Overweight"/>
    <x v="19"/>
    <n v="65"/>
    <n v="6000"/>
    <s v="Insomnia"/>
    <x v="1"/>
    <x v="2"/>
    <x v="0"/>
    <x v="2"/>
    <x v="2"/>
    <x v="3"/>
    <x v="3"/>
  </r>
  <r>
    <n v="190"/>
    <x v="0"/>
    <n v="43"/>
    <x v="9"/>
    <n v="6.5"/>
    <n v="6"/>
    <n v="45"/>
    <n v="7"/>
    <s v="Overweight"/>
    <x v="14"/>
    <n v="72"/>
    <n v="6000"/>
    <s v="Insomnia"/>
    <x v="1"/>
    <x v="0"/>
    <x v="0"/>
    <x v="1"/>
    <x v="2"/>
    <x v="2"/>
    <x v="3"/>
  </r>
  <r>
    <n v="191"/>
    <x v="1"/>
    <n v="43"/>
    <x v="3"/>
    <n v="6.7"/>
    <n v="7"/>
    <n v="45"/>
    <n v="4"/>
    <s v="Overweight"/>
    <x v="19"/>
    <n v="65"/>
    <n v="6000"/>
    <s v="Insomnia"/>
    <x v="1"/>
    <x v="2"/>
    <x v="0"/>
    <x v="2"/>
    <x v="2"/>
    <x v="3"/>
    <x v="3"/>
  </r>
  <r>
    <n v="192"/>
    <x v="0"/>
    <n v="43"/>
    <x v="9"/>
    <n v="6.4"/>
    <n v="6"/>
    <n v="45"/>
    <n v="7"/>
    <s v="Overweight"/>
    <x v="14"/>
    <n v="72"/>
    <n v="6000"/>
    <s v="Insomnia"/>
    <x v="1"/>
    <x v="0"/>
    <x v="0"/>
    <x v="1"/>
    <x v="2"/>
    <x v="2"/>
    <x v="3"/>
  </r>
  <r>
    <n v="193"/>
    <x v="0"/>
    <n v="43"/>
    <x v="9"/>
    <n v="6.5"/>
    <n v="6"/>
    <n v="45"/>
    <n v="7"/>
    <s v="Overweight"/>
    <x v="14"/>
    <n v="72"/>
    <n v="6000"/>
    <s v="Insomnia"/>
    <x v="1"/>
    <x v="0"/>
    <x v="0"/>
    <x v="1"/>
    <x v="2"/>
    <x v="2"/>
    <x v="3"/>
  </r>
  <r>
    <n v="194"/>
    <x v="0"/>
    <n v="43"/>
    <x v="9"/>
    <n v="6.5"/>
    <n v="6"/>
    <n v="45"/>
    <n v="7"/>
    <s v="Overweight"/>
    <x v="14"/>
    <n v="72"/>
    <n v="6000"/>
    <s v="Insomnia"/>
    <x v="1"/>
    <x v="0"/>
    <x v="0"/>
    <x v="1"/>
    <x v="2"/>
    <x v="2"/>
    <x v="3"/>
  </r>
  <r>
    <n v="195"/>
    <x v="0"/>
    <n v="43"/>
    <x v="9"/>
    <n v="6.5"/>
    <n v="6"/>
    <n v="45"/>
    <n v="7"/>
    <s v="Overweight"/>
    <x v="14"/>
    <n v="72"/>
    <n v="6000"/>
    <s v="Insomnia"/>
    <x v="1"/>
    <x v="0"/>
    <x v="0"/>
    <x v="1"/>
    <x v="2"/>
    <x v="2"/>
    <x v="3"/>
  </r>
  <r>
    <n v="196"/>
    <x v="0"/>
    <n v="43"/>
    <x v="9"/>
    <n v="6.5"/>
    <n v="6"/>
    <n v="45"/>
    <n v="7"/>
    <s v="Overweight"/>
    <x v="14"/>
    <n v="72"/>
    <n v="6000"/>
    <s v="Insomnia"/>
    <x v="1"/>
    <x v="0"/>
    <x v="0"/>
    <x v="1"/>
    <x v="2"/>
    <x v="2"/>
    <x v="3"/>
  </r>
  <r>
    <n v="197"/>
    <x v="0"/>
    <n v="43"/>
    <x v="9"/>
    <n v="6.5"/>
    <n v="6"/>
    <n v="45"/>
    <n v="7"/>
    <s v="Overweight"/>
    <x v="14"/>
    <n v="72"/>
    <n v="6000"/>
    <s v="Insomnia"/>
    <x v="1"/>
    <x v="0"/>
    <x v="0"/>
    <x v="1"/>
    <x v="2"/>
    <x v="2"/>
    <x v="3"/>
  </r>
  <r>
    <n v="198"/>
    <x v="0"/>
    <n v="43"/>
    <x v="9"/>
    <n v="6.5"/>
    <n v="6"/>
    <n v="45"/>
    <n v="7"/>
    <s v="Overweight"/>
    <x v="14"/>
    <n v="72"/>
    <n v="6000"/>
    <s v="Insomnia"/>
    <x v="1"/>
    <x v="0"/>
    <x v="0"/>
    <x v="1"/>
    <x v="2"/>
    <x v="2"/>
    <x v="3"/>
  </r>
  <r>
    <n v="199"/>
    <x v="0"/>
    <n v="43"/>
    <x v="9"/>
    <n v="6.5"/>
    <n v="6"/>
    <n v="45"/>
    <n v="7"/>
    <s v="Overweight"/>
    <x v="14"/>
    <n v="72"/>
    <n v="6000"/>
    <s v="Insomnia"/>
    <x v="1"/>
    <x v="0"/>
    <x v="0"/>
    <x v="1"/>
    <x v="2"/>
    <x v="2"/>
    <x v="3"/>
  </r>
  <r>
    <n v="200"/>
    <x v="0"/>
    <n v="43"/>
    <x v="9"/>
    <n v="6.5"/>
    <n v="6"/>
    <n v="45"/>
    <n v="7"/>
    <s v="Overweight"/>
    <x v="14"/>
    <n v="72"/>
    <n v="6000"/>
    <s v="Insomnia"/>
    <x v="1"/>
    <x v="0"/>
    <x v="0"/>
    <x v="1"/>
    <x v="2"/>
    <x v="2"/>
    <x v="3"/>
  </r>
  <r>
    <n v="201"/>
    <x v="0"/>
    <n v="43"/>
    <x v="9"/>
    <n v="6.5"/>
    <n v="6"/>
    <n v="45"/>
    <n v="7"/>
    <s v="Overweight"/>
    <x v="14"/>
    <n v="72"/>
    <n v="6000"/>
    <s v="Insomnia"/>
    <x v="1"/>
    <x v="0"/>
    <x v="0"/>
    <x v="1"/>
    <x v="2"/>
    <x v="2"/>
    <x v="3"/>
  </r>
  <r>
    <n v="202"/>
    <x v="0"/>
    <n v="43"/>
    <x v="5"/>
    <n v="7.8"/>
    <n v="8"/>
    <n v="90"/>
    <n v="5"/>
    <s v="Normal"/>
    <x v="14"/>
    <n v="70"/>
    <n v="8000"/>
    <s v="Insomnia"/>
    <x v="1"/>
    <x v="3"/>
    <x v="4"/>
    <x v="0"/>
    <x v="2"/>
    <x v="2"/>
    <x v="1"/>
  </r>
  <r>
    <n v="203"/>
    <x v="0"/>
    <n v="43"/>
    <x v="5"/>
    <n v="7.8"/>
    <n v="8"/>
    <n v="90"/>
    <n v="5"/>
    <s v="Normal"/>
    <x v="14"/>
    <n v="70"/>
    <n v="8000"/>
    <s v="Insomnia"/>
    <x v="1"/>
    <x v="3"/>
    <x v="4"/>
    <x v="0"/>
    <x v="2"/>
    <x v="2"/>
    <x v="1"/>
  </r>
  <r>
    <n v="204"/>
    <x v="0"/>
    <n v="43"/>
    <x v="5"/>
    <n v="6.9"/>
    <n v="6"/>
    <n v="47"/>
    <n v="7"/>
    <s v="Normal Weight"/>
    <x v="6"/>
    <n v="69"/>
    <n v="6800"/>
    <s v="None"/>
    <x v="1"/>
    <x v="0"/>
    <x v="0"/>
    <x v="1"/>
    <x v="3"/>
    <x v="3"/>
    <x v="3"/>
  </r>
  <r>
    <n v="205"/>
    <x v="0"/>
    <n v="43"/>
    <x v="5"/>
    <n v="7.6"/>
    <n v="8"/>
    <n v="75"/>
    <n v="4"/>
    <s v="Overweight"/>
    <x v="20"/>
    <n v="68"/>
    <n v="6800"/>
    <s v="None"/>
    <x v="1"/>
    <x v="3"/>
    <x v="3"/>
    <x v="2"/>
    <x v="0"/>
    <x v="3"/>
    <x v="3"/>
  </r>
  <r>
    <n v="206"/>
    <x v="0"/>
    <n v="43"/>
    <x v="5"/>
    <n v="7.7"/>
    <n v="8"/>
    <n v="90"/>
    <n v="5"/>
    <s v="Normal"/>
    <x v="14"/>
    <n v="70"/>
    <n v="8000"/>
    <s v="None"/>
    <x v="1"/>
    <x v="3"/>
    <x v="4"/>
    <x v="0"/>
    <x v="2"/>
    <x v="2"/>
    <x v="1"/>
  </r>
  <r>
    <n v="207"/>
    <x v="0"/>
    <n v="43"/>
    <x v="5"/>
    <n v="7.7"/>
    <n v="8"/>
    <n v="90"/>
    <n v="5"/>
    <s v="Normal"/>
    <x v="14"/>
    <n v="70"/>
    <n v="8000"/>
    <s v="None"/>
    <x v="1"/>
    <x v="3"/>
    <x v="4"/>
    <x v="0"/>
    <x v="2"/>
    <x v="2"/>
    <x v="1"/>
  </r>
  <r>
    <n v="208"/>
    <x v="0"/>
    <n v="43"/>
    <x v="5"/>
    <n v="7.7"/>
    <n v="8"/>
    <n v="90"/>
    <n v="5"/>
    <s v="Normal"/>
    <x v="14"/>
    <n v="70"/>
    <n v="8000"/>
    <s v="None"/>
    <x v="1"/>
    <x v="3"/>
    <x v="4"/>
    <x v="0"/>
    <x v="2"/>
    <x v="2"/>
    <x v="1"/>
  </r>
  <r>
    <n v="209"/>
    <x v="0"/>
    <n v="43"/>
    <x v="5"/>
    <n v="7.7"/>
    <n v="8"/>
    <n v="90"/>
    <n v="5"/>
    <s v="Normal"/>
    <x v="14"/>
    <n v="70"/>
    <n v="8000"/>
    <s v="None"/>
    <x v="1"/>
    <x v="3"/>
    <x v="4"/>
    <x v="0"/>
    <x v="2"/>
    <x v="2"/>
    <x v="1"/>
  </r>
  <r>
    <n v="210"/>
    <x v="0"/>
    <n v="43"/>
    <x v="5"/>
    <n v="7.8"/>
    <n v="8"/>
    <n v="90"/>
    <n v="5"/>
    <s v="Normal"/>
    <x v="14"/>
    <n v="70"/>
    <n v="8000"/>
    <s v="None"/>
    <x v="1"/>
    <x v="3"/>
    <x v="4"/>
    <x v="0"/>
    <x v="2"/>
    <x v="2"/>
    <x v="1"/>
  </r>
  <r>
    <n v="211"/>
    <x v="0"/>
    <n v="43"/>
    <x v="5"/>
    <n v="7.7"/>
    <n v="8"/>
    <n v="90"/>
    <n v="5"/>
    <s v="Normal"/>
    <x v="14"/>
    <n v="70"/>
    <n v="8000"/>
    <s v="None"/>
    <x v="1"/>
    <x v="3"/>
    <x v="4"/>
    <x v="0"/>
    <x v="2"/>
    <x v="2"/>
    <x v="1"/>
  </r>
  <r>
    <n v="212"/>
    <x v="0"/>
    <n v="43"/>
    <x v="5"/>
    <n v="7.8"/>
    <n v="8"/>
    <n v="90"/>
    <n v="5"/>
    <s v="Normal"/>
    <x v="14"/>
    <n v="70"/>
    <n v="8000"/>
    <s v="None"/>
    <x v="1"/>
    <x v="3"/>
    <x v="4"/>
    <x v="0"/>
    <x v="2"/>
    <x v="2"/>
    <x v="1"/>
  </r>
  <r>
    <n v="213"/>
    <x v="0"/>
    <n v="43"/>
    <x v="5"/>
    <n v="7.8"/>
    <n v="8"/>
    <n v="90"/>
    <n v="5"/>
    <s v="Normal"/>
    <x v="14"/>
    <n v="70"/>
    <n v="8000"/>
    <s v="None"/>
    <x v="1"/>
    <x v="3"/>
    <x v="4"/>
    <x v="0"/>
    <x v="2"/>
    <x v="2"/>
    <x v="1"/>
  </r>
  <r>
    <n v="214"/>
    <x v="0"/>
    <n v="43"/>
    <x v="5"/>
    <n v="7.8"/>
    <n v="8"/>
    <n v="90"/>
    <n v="5"/>
    <s v="Normal"/>
    <x v="14"/>
    <n v="70"/>
    <n v="8000"/>
    <s v="None"/>
    <x v="1"/>
    <x v="3"/>
    <x v="4"/>
    <x v="0"/>
    <x v="2"/>
    <x v="2"/>
    <x v="1"/>
  </r>
  <r>
    <n v="215"/>
    <x v="0"/>
    <n v="43"/>
    <x v="5"/>
    <n v="7.8"/>
    <n v="8"/>
    <n v="90"/>
    <n v="5"/>
    <s v="Normal"/>
    <x v="14"/>
    <n v="70"/>
    <n v="8000"/>
    <s v="None"/>
    <x v="1"/>
    <x v="3"/>
    <x v="4"/>
    <x v="0"/>
    <x v="2"/>
    <x v="2"/>
    <x v="1"/>
  </r>
  <r>
    <n v="216"/>
    <x v="0"/>
    <n v="43"/>
    <x v="5"/>
    <n v="7.8"/>
    <n v="8"/>
    <n v="90"/>
    <n v="5"/>
    <s v="Normal"/>
    <x v="14"/>
    <n v="70"/>
    <n v="8000"/>
    <s v="None"/>
    <x v="1"/>
    <x v="3"/>
    <x v="4"/>
    <x v="0"/>
    <x v="2"/>
    <x v="2"/>
    <x v="1"/>
  </r>
  <r>
    <n v="217"/>
    <x v="0"/>
    <n v="43"/>
    <x v="5"/>
    <n v="7.8"/>
    <n v="8"/>
    <n v="90"/>
    <n v="5"/>
    <s v="Normal"/>
    <x v="14"/>
    <n v="70"/>
    <n v="8000"/>
    <s v="None"/>
    <x v="1"/>
    <x v="3"/>
    <x v="4"/>
    <x v="0"/>
    <x v="2"/>
    <x v="2"/>
    <x v="1"/>
  </r>
  <r>
    <n v="218"/>
    <x v="0"/>
    <n v="43"/>
    <x v="5"/>
    <n v="7.8"/>
    <n v="8"/>
    <n v="90"/>
    <n v="5"/>
    <s v="Normal"/>
    <x v="14"/>
    <n v="70"/>
    <n v="8000"/>
    <s v="None"/>
    <x v="1"/>
    <x v="3"/>
    <x v="4"/>
    <x v="0"/>
    <x v="2"/>
    <x v="2"/>
    <x v="1"/>
  </r>
  <r>
    <n v="219"/>
    <x v="0"/>
    <n v="43"/>
    <x v="5"/>
    <n v="7.8"/>
    <n v="8"/>
    <n v="90"/>
    <n v="5"/>
    <s v="Normal"/>
    <x v="14"/>
    <n v="70"/>
    <n v="8000"/>
    <s v="Sleep Apnea"/>
    <x v="1"/>
    <x v="3"/>
    <x v="4"/>
    <x v="0"/>
    <x v="2"/>
    <x v="2"/>
    <x v="1"/>
  </r>
  <r>
    <n v="220"/>
    <x v="0"/>
    <n v="43"/>
    <x v="9"/>
    <n v="6.5"/>
    <n v="6"/>
    <n v="45"/>
    <n v="7"/>
    <s v="Overweight"/>
    <x v="14"/>
    <n v="72"/>
    <n v="6000"/>
    <s v="Sleep Apnea"/>
    <x v="1"/>
    <x v="0"/>
    <x v="0"/>
    <x v="1"/>
    <x v="2"/>
    <x v="2"/>
    <x v="3"/>
  </r>
  <r>
    <n v="221"/>
    <x v="1"/>
    <n v="44"/>
    <x v="3"/>
    <n v="6.6"/>
    <n v="7"/>
    <n v="45"/>
    <n v="4"/>
    <s v="Overweight"/>
    <x v="19"/>
    <n v="65"/>
    <n v="6000"/>
    <s v="Insomnia"/>
    <x v="1"/>
    <x v="2"/>
    <x v="0"/>
    <x v="2"/>
    <x v="2"/>
    <x v="3"/>
    <x v="3"/>
  </r>
  <r>
    <n v="222"/>
    <x v="0"/>
    <n v="44"/>
    <x v="9"/>
    <n v="6.4"/>
    <n v="6"/>
    <n v="45"/>
    <n v="7"/>
    <s v="Overweight"/>
    <x v="14"/>
    <n v="72"/>
    <n v="6000"/>
    <s v="Insomnia"/>
    <x v="1"/>
    <x v="0"/>
    <x v="0"/>
    <x v="1"/>
    <x v="2"/>
    <x v="2"/>
    <x v="3"/>
  </r>
  <r>
    <n v="223"/>
    <x v="0"/>
    <n v="44"/>
    <x v="9"/>
    <n v="6.3"/>
    <n v="6"/>
    <n v="45"/>
    <n v="7"/>
    <s v="Overweight"/>
    <x v="14"/>
    <n v="72"/>
    <n v="6000"/>
    <s v="Insomnia"/>
    <x v="1"/>
    <x v="0"/>
    <x v="0"/>
    <x v="1"/>
    <x v="2"/>
    <x v="2"/>
    <x v="3"/>
  </r>
  <r>
    <n v="224"/>
    <x v="0"/>
    <n v="44"/>
    <x v="9"/>
    <n v="6.4"/>
    <n v="6"/>
    <n v="45"/>
    <n v="7"/>
    <s v="Overweight"/>
    <x v="14"/>
    <n v="72"/>
    <n v="6000"/>
    <s v="Insomnia"/>
    <x v="1"/>
    <x v="0"/>
    <x v="0"/>
    <x v="1"/>
    <x v="2"/>
    <x v="2"/>
    <x v="3"/>
  </r>
  <r>
    <n v="225"/>
    <x v="1"/>
    <n v="44"/>
    <x v="3"/>
    <n v="6.6"/>
    <n v="7"/>
    <n v="45"/>
    <n v="4"/>
    <s v="Overweight"/>
    <x v="19"/>
    <n v="65"/>
    <n v="6000"/>
    <s v="Insomnia"/>
    <x v="1"/>
    <x v="2"/>
    <x v="0"/>
    <x v="2"/>
    <x v="2"/>
    <x v="3"/>
    <x v="3"/>
  </r>
  <r>
    <n v="226"/>
    <x v="0"/>
    <n v="44"/>
    <x v="9"/>
    <n v="6.3"/>
    <n v="6"/>
    <n v="45"/>
    <n v="7"/>
    <s v="Overweight"/>
    <x v="14"/>
    <n v="72"/>
    <n v="6000"/>
    <s v="Insomnia"/>
    <x v="1"/>
    <x v="0"/>
    <x v="0"/>
    <x v="1"/>
    <x v="2"/>
    <x v="2"/>
    <x v="3"/>
  </r>
  <r>
    <n v="227"/>
    <x v="1"/>
    <n v="44"/>
    <x v="3"/>
    <n v="6.6"/>
    <n v="7"/>
    <n v="45"/>
    <n v="4"/>
    <s v="Overweight"/>
    <x v="19"/>
    <n v="65"/>
    <n v="6000"/>
    <s v="Insomnia"/>
    <x v="1"/>
    <x v="2"/>
    <x v="0"/>
    <x v="2"/>
    <x v="2"/>
    <x v="3"/>
    <x v="3"/>
  </r>
  <r>
    <n v="228"/>
    <x v="0"/>
    <n v="44"/>
    <x v="9"/>
    <n v="6.3"/>
    <n v="6"/>
    <n v="45"/>
    <n v="7"/>
    <s v="Overweight"/>
    <x v="14"/>
    <n v="72"/>
    <n v="6000"/>
    <s v="Insomnia"/>
    <x v="1"/>
    <x v="0"/>
    <x v="0"/>
    <x v="1"/>
    <x v="2"/>
    <x v="2"/>
    <x v="3"/>
  </r>
  <r>
    <n v="229"/>
    <x v="1"/>
    <n v="44"/>
    <x v="3"/>
    <n v="6.6"/>
    <n v="7"/>
    <n v="45"/>
    <n v="4"/>
    <s v="Overweight"/>
    <x v="19"/>
    <n v="65"/>
    <n v="6000"/>
    <s v="Insomnia"/>
    <x v="1"/>
    <x v="2"/>
    <x v="0"/>
    <x v="2"/>
    <x v="2"/>
    <x v="3"/>
    <x v="3"/>
  </r>
  <r>
    <n v="230"/>
    <x v="0"/>
    <n v="44"/>
    <x v="9"/>
    <n v="6.3"/>
    <n v="6"/>
    <n v="45"/>
    <n v="7"/>
    <s v="Overweight"/>
    <x v="14"/>
    <n v="72"/>
    <n v="6000"/>
    <s v="Insomnia"/>
    <x v="1"/>
    <x v="0"/>
    <x v="0"/>
    <x v="1"/>
    <x v="2"/>
    <x v="2"/>
    <x v="3"/>
  </r>
  <r>
    <n v="231"/>
    <x v="1"/>
    <n v="44"/>
    <x v="3"/>
    <n v="6.6"/>
    <n v="7"/>
    <n v="45"/>
    <n v="4"/>
    <s v="Overweight"/>
    <x v="19"/>
    <n v="65"/>
    <n v="6000"/>
    <s v="Insomnia"/>
    <x v="1"/>
    <x v="2"/>
    <x v="0"/>
    <x v="2"/>
    <x v="2"/>
    <x v="3"/>
    <x v="3"/>
  </r>
  <r>
    <n v="232"/>
    <x v="0"/>
    <n v="44"/>
    <x v="9"/>
    <n v="6.3"/>
    <n v="6"/>
    <n v="45"/>
    <n v="7"/>
    <s v="Overweight"/>
    <x v="14"/>
    <n v="72"/>
    <n v="6000"/>
    <s v="Insomnia"/>
    <x v="1"/>
    <x v="0"/>
    <x v="0"/>
    <x v="1"/>
    <x v="2"/>
    <x v="2"/>
    <x v="3"/>
  </r>
  <r>
    <n v="233"/>
    <x v="1"/>
    <n v="44"/>
    <x v="3"/>
    <n v="6.6"/>
    <n v="7"/>
    <n v="45"/>
    <n v="4"/>
    <s v="Overweight"/>
    <x v="19"/>
    <n v="65"/>
    <n v="6000"/>
    <s v="Insomnia"/>
    <x v="1"/>
    <x v="2"/>
    <x v="0"/>
    <x v="2"/>
    <x v="2"/>
    <x v="3"/>
    <x v="3"/>
  </r>
  <r>
    <n v="234"/>
    <x v="0"/>
    <n v="44"/>
    <x v="9"/>
    <n v="6.3"/>
    <n v="6"/>
    <n v="45"/>
    <n v="7"/>
    <s v="Overweight"/>
    <x v="14"/>
    <n v="72"/>
    <n v="6000"/>
    <s v="Insomnia"/>
    <x v="1"/>
    <x v="0"/>
    <x v="0"/>
    <x v="1"/>
    <x v="2"/>
    <x v="2"/>
    <x v="3"/>
  </r>
  <r>
    <n v="235"/>
    <x v="1"/>
    <n v="44"/>
    <x v="3"/>
    <n v="6.6"/>
    <n v="7"/>
    <n v="45"/>
    <n v="4"/>
    <s v="Overweight"/>
    <x v="19"/>
    <n v="65"/>
    <n v="6000"/>
    <s v="Insomnia"/>
    <x v="1"/>
    <x v="2"/>
    <x v="0"/>
    <x v="2"/>
    <x v="2"/>
    <x v="3"/>
    <x v="3"/>
  </r>
  <r>
    <n v="236"/>
    <x v="0"/>
    <n v="44"/>
    <x v="9"/>
    <n v="6.3"/>
    <n v="6"/>
    <n v="45"/>
    <n v="7"/>
    <s v="Overweight"/>
    <x v="14"/>
    <n v="72"/>
    <n v="6000"/>
    <s v="Insomnia"/>
    <x v="1"/>
    <x v="0"/>
    <x v="0"/>
    <x v="1"/>
    <x v="2"/>
    <x v="2"/>
    <x v="3"/>
  </r>
  <r>
    <n v="237"/>
    <x v="0"/>
    <n v="44"/>
    <x v="9"/>
    <n v="6.4"/>
    <n v="6"/>
    <n v="45"/>
    <n v="7"/>
    <s v="Overweight"/>
    <x v="14"/>
    <n v="72"/>
    <n v="6000"/>
    <s v="Insomnia"/>
    <x v="1"/>
    <x v="0"/>
    <x v="0"/>
    <x v="1"/>
    <x v="2"/>
    <x v="2"/>
    <x v="3"/>
  </r>
  <r>
    <n v="238"/>
    <x v="1"/>
    <n v="44"/>
    <x v="3"/>
    <n v="6.5"/>
    <n v="7"/>
    <n v="45"/>
    <n v="4"/>
    <s v="Overweight"/>
    <x v="19"/>
    <n v="65"/>
    <n v="6000"/>
    <s v="Insomnia"/>
    <x v="1"/>
    <x v="2"/>
    <x v="0"/>
    <x v="2"/>
    <x v="2"/>
    <x v="3"/>
    <x v="3"/>
  </r>
  <r>
    <n v="239"/>
    <x v="0"/>
    <n v="44"/>
    <x v="9"/>
    <n v="6.3"/>
    <n v="6"/>
    <n v="45"/>
    <n v="7"/>
    <s v="Overweight"/>
    <x v="14"/>
    <n v="72"/>
    <n v="6000"/>
    <s v="Insomnia"/>
    <x v="1"/>
    <x v="0"/>
    <x v="0"/>
    <x v="1"/>
    <x v="2"/>
    <x v="2"/>
    <x v="3"/>
  </r>
  <r>
    <n v="240"/>
    <x v="0"/>
    <n v="44"/>
    <x v="9"/>
    <n v="6.4"/>
    <n v="6"/>
    <n v="45"/>
    <n v="7"/>
    <s v="Overweight"/>
    <x v="14"/>
    <n v="72"/>
    <n v="6000"/>
    <s v="Insomnia"/>
    <x v="1"/>
    <x v="0"/>
    <x v="0"/>
    <x v="1"/>
    <x v="2"/>
    <x v="2"/>
    <x v="3"/>
  </r>
  <r>
    <n v="241"/>
    <x v="1"/>
    <n v="44"/>
    <x v="3"/>
    <n v="6.5"/>
    <n v="7"/>
    <n v="45"/>
    <n v="4"/>
    <s v="Overweight"/>
    <x v="19"/>
    <n v="65"/>
    <n v="6000"/>
    <s v="Insomnia"/>
    <x v="1"/>
    <x v="2"/>
    <x v="0"/>
    <x v="2"/>
    <x v="2"/>
    <x v="3"/>
    <x v="3"/>
  </r>
  <r>
    <n v="242"/>
    <x v="0"/>
    <n v="44"/>
    <x v="9"/>
    <n v="6.3"/>
    <n v="6"/>
    <n v="45"/>
    <n v="7"/>
    <s v="Overweight"/>
    <x v="14"/>
    <n v="72"/>
    <n v="6000"/>
    <s v="Insomnia"/>
    <x v="1"/>
    <x v="0"/>
    <x v="0"/>
    <x v="1"/>
    <x v="2"/>
    <x v="2"/>
    <x v="3"/>
  </r>
  <r>
    <n v="243"/>
    <x v="0"/>
    <n v="44"/>
    <x v="9"/>
    <n v="6.4"/>
    <n v="6"/>
    <n v="45"/>
    <n v="7"/>
    <s v="Overweight"/>
    <x v="14"/>
    <n v="72"/>
    <n v="6000"/>
    <s v="Insomnia"/>
    <x v="1"/>
    <x v="0"/>
    <x v="0"/>
    <x v="1"/>
    <x v="2"/>
    <x v="2"/>
    <x v="3"/>
  </r>
  <r>
    <n v="244"/>
    <x v="1"/>
    <n v="44"/>
    <x v="3"/>
    <n v="6.5"/>
    <n v="7"/>
    <n v="45"/>
    <n v="4"/>
    <s v="Overweight"/>
    <x v="19"/>
    <n v="65"/>
    <n v="6000"/>
    <s v="Insomnia"/>
    <x v="1"/>
    <x v="2"/>
    <x v="0"/>
    <x v="2"/>
    <x v="2"/>
    <x v="3"/>
    <x v="3"/>
  </r>
  <r>
    <n v="245"/>
    <x v="0"/>
    <n v="44"/>
    <x v="9"/>
    <n v="6.3"/>
    <n v="6"/>
    <n v="45"/>
    <n v="7"/>
    <s v="Overweight"/>
    <x v="14"/>
    <n v="72"/>
    <n v="6000"/>
    <s v="Insomnia"/>
    <x v="1"/>
    <x v="0"/>
    <x v="0"/>
    <x v="1"/>
    <x v="2"/>
    <x v="2"/>
    <x v="3"/>
  </r>
  <r>
    <n v="246"/>
    <x v="1"/>
    <n v="44"/>
    <x v="3"/>
    <n v="6.5"/>
    <n v="7"/>
    <n v="45"/>
    <n v="4"/>
    <s v="Overweight"/>
    <x v="19"/>
    <n v="65"/>
    <n v="6000"/>
    <s v="Insomnia"/>
    <x v="1"/>
    <x v="2"/>
    <x v="0"/>
    <x v="2"/>
    <x v="2"/>
    <x v="3"/>
    <x v="3"/>
  </r>
  <r>
    <n v="247"/>
    <x v="0"/>
    <n v="44"/>
    <x v="9"/>
    <n v="6.3"/>
    <n v="6"/>
    <n v="45"/>
    <n v="7"/>
    <s v="Overweight"/>
    <x v="14"/>
    <n v="72"/>
    <n v="6000"/>
    <s v="Insomnia"/>
    <x v="1"/>
    <x v="0"/>
    <x v="0"/>
    <x v="1"/>
    <x v="2"/>
    <x v="2"/>
    <x v="3"/>
  </r>
  <r>
    <n v="248"/>
    <x v="0"/>
    <n v="44"/>
    <x v="5"/>
    <n v="6.8"/>
    <n v="7"/>
    <n v="45"/>
    <n v="7"/>
    <s v="Overweight"/>
    <x v="14"/>
    <n v="78"/>
    <n v="5000"/>
    <s v="Insomnia"/>
    <x v="1"/>
    <x v="2"/>
    <x v="0"/>
    <x v="1"/>
    <x v="2"/>
    <x v="0"/>
    <x v="0"/>
  </r>
  <r>
    <n v="249"/>
    <x v="0"/>
    <n v="44"/>
    <x v="9"/>
    <n v="6.4"/>
    <n v="6"/>
    <n v="45"/>
    <n v="7"/>
    <s v="Overweight"/>
    <x v="14"/>
    <n v="72"/>
    <n v="6000"/>
    <s v="None"/>
    <x v="1"/>
    <x v="0"/>
    <x v="0"/>
    <x v="1"/>
    <x v="2"/>
    <x v="2"/>
    <x v="3"/>
  </r>
  <r>
    <n v="250"/>
    <x v="0"/>
    <n v="44"/>
    <x v="9"/>
    <n v="6.5"/>
    <n v="6"/>
    <n v="45"/>
    <n v="7"/>
    <s v="Overweight"/>
    <x v="14"/>
    <n v="72"/>
    <n v="6000"/>
    <s v="None"/>
    <x v="1"/>
    <x v="0"/>
    <x v="0"/>
    <x v="1"/>
    <x v="2"/>
    <x v="2"/>
    <x v="3"/>
  </r>
  <r>
    <n v="251"/>
    <x v="1"/>
    <n v="45"/>
    <x v="3"/>
    <n v="6.8"/>
    <n v="7"/>
    <n v="30"/>
    <n v="6"/>
    <s v="Overweight"/>
    <x v="19"/>
    <n v="65"/>
    <n v="6000"/>
    <s v="Insomnia"/>
    <x v="1"/>
    <x v="2"/>
    <x v="2"/>
    <x v="0"/>
    <x v="2"/>
    <x v="3"/>
    <x v="3"/>
  </r>
  <r>
    <n v="252"/>
    <x v="1"/>
    <n v="45"/>
    <x v="3"/>
    <n v="6.8"/>
    <n v="7"/>
    <n v="30"/>
    <n v="6"/>
    <s v="Overweight"/>
    <x v="19"/>
    <n v="65"/>
    <n v="6000"/>
    <s v="Insomnia"/>
    <x v="1"/>
    <x v="2"/>
    <x v="2"/>
    <x v="0"/>
    <x v="2"/>
    <x v="3"/>
    <x v="3"/>
  </r>
  <r>
    <n v="253"/>
    <x v="1"/>
    <n v="45"/>
    <x v="3"/>
    <n v="6.5"/>
    <n v="7"/>
    <n v="45"/>
    <n v="4"/>
    <s v="Overweight"/>
    <x v="19"/>
    <n v="65"/>
    <n v="6000"/>
    <s v="Insomnia"/>
    <x v="1"/>
    <x v="2"/>
    <x v="0"/>
    <x v="2"/>
    <x v="2"/>
    <x v="3"/>
    <x v="3"/>
  </r>
  <r>
    <n v="254"/>
    <x v="1"/>
    <n v="45"/>
    <x v="3"/>
    <n v="6.5"/>
    <n v="7"/>
    <n v="45"/>
    <n v="4"/>
    <s v="Overweight"/>
    <x v="19"/>
    <n v="65"/>
    <n v="6000"/>
    <s v="Insomnia"/>
    <x v="1"/>
    <x v="2"/>
    <x v="0"/>
    <x v="2"/>
    <x v="2"/>
    <x v="3"/>
    <x v="3"/>
  </r>
  <r>
    <n v="255"/>
    <x v="1"/>
    <n v="45"/>
    <x v="3"/>
    <n v="6.5"/>
    <n v="7"/>
    <n v="45"/>
    <n v="4"/>
    <s v="Overweight"/>
    <x v="19"/>
    <n v="65"/>
    <n v="6000"/>
    <s v="Insomnia"/>
    <x v="1"/>
    <x v="2"/>
    <x v="0"/>
    <x v="2"/>
    <x v="2"/>
    <x v="3"/>
    <x v="3"/>
  </r>
  <r>
    <n v="256"/>
    <x v="1"/>
    <n v="45"/>
    <x v="3"/>
    <n v="6.5"/>
    <n v="7"/>
    <n v="45"/>
    <n v="4"/>
    <s v="Overweight"/>
    <x v="19"/>
    <n v="65"/>
    <n v="6000"/>
    <s v="Insomnia"/>
    <x v="1"/>
    <x v="2"/>
    <x v="0"/>
    <x v="2"/>
    <x v="2"/>
    <x v="3"/>
    <x v="3"/>
  </r>
  <r>
    <n v="257"/>
    <x v="1"/>
    <n v="45"/>
    <x v="3"/>
    <n v="6.6"/>
    <n v="7"/>
    <n v="45"/>
    <n v="4"/>
    <s v="Overweight"/>
    <x v="19"/>
    <n v="65"/>
    <n v="6000"/>
    <s v="Insomnia"/>
    <x v="1"/>
    <x v="2"/>
    <x v="0"/>
    <x v="2"/>
    <x v="2"/>
    <x v="3"/>
    <x v="3"/>
  </r>
  <r>
    <n v="258"/>
    <x v="1"/>
    <n v="45"/>
    <x v="3"/>
    <n v="6.6"/>
    <n v="7"/>
    <n v="45"/>
    <n v="4"/>
    <s v="Overweight"/>
    <x v="19"/>
    <n v="65"/>
    <n v="6000"/>
    <s v="Insomnia"/>
    <x v="1"/>
    <x v="2"/>
    <x v="0"/>
    <x v="2"/>
    <x v="2"/>
    <x v="3"/>
    <x v="3"/>
  </r>
  <r>
    <n v="259"/>
    <x v="1"/>
    <n v="45"/>
    <x v="3"/>
    <n v="6.6"/>
    <n v="7"/>
    <n v="45"/>
    <n v="4"/>
    <s v="Overweight"/>
    <x v="19"/>
    <n v="65"/>
    <n v="6000"/>
    <s v="Insomnia"/>
    <x v="1"/>
    <x v="2"/>
    <x v="0"/>
    <x v="2"/>
    <x v="2"/>
    <x v="3"/>
    <x v="3"/>
  </r>
  <r>
    <n v="260"/>
    <x v="1"/>
    <n v="45"/>
    <x v="3"/>
    <n v="6.6"/>
    <n v="7"/>
    <n v="45"/>
    <n v="4"/>
    <s v="Overweight"/>
    <x v="19"/>
    <n v="65"/>
    <n v="6000"/>
    <s v="Insomnia"/>
    <x v="1"/>
    <x v="2"/>
    <x v="0"/>
    <x v="2"/>
    <x v="2"/>
    <x v="3"/>
    <x v="3"/>
  </r>
  <r>
    <n v="261"/>
    <x v="1"/>
    <n v="45"/>
    <x v="3"/>
    <n v="6.6"/>
    <n v="7"/>
    <n v="45"/>
    <n v="4"/>
    <s v="Overweight"/>
    <x v="19"/>
    <n v="65"/>
    <n v="6000"/>
    <s v="Insomnia"/>
    <x v="1"/>
    <x v="2"/>
    <x v="0"/>
    <x v="2"/>
    <x v="2"/>
    <x v="3"/>
    <x v="3"/>
  </r>
  <r>
    <n v="262"/>
    <x v="1"/>
    <n v="45"/>
    <x v="3"/>
    <n v="6.6"/>
    <n v="7"/>
    <n v="45"/>
    <n v="4"/>
    <s v="Overweight"/>
    <x v="19"/>
    <n v="65"/>
    <n v="6000"/>
    <s v="None"/>
    <x v="1"/>
    <x v="2"/>
    <x v="0"/>
    <x v="2"/>
    <x v="2"/>
    <x v="3"/>
    <x v="3"/>
  </r>
  <r>
    <n v="263"/>
    <x v="1"/>
    <n v="45"/>
    <x v="3"/>
    <n v="6.6"/>
    <n v="7"/>
    <n v="45"/>
    <n v="4"/>
    <s v="Overweight"/>
    <x v="19"/>
    <n v="65"/>
    <n v="6000"/>
    <s v="None"/>
    <x v="1"/>
    <x v="2"/>
    <x v="0"/>
    <x v="2"/>
    <x v="2"/>
    <x v="3"/>
    <x v="3"/>
  </r>
  <r>
    <n v="264"/>
    <x v="1"/>
    <n v="45"/>
    <x v="10"/>
    <n v="6.9"/>
    <n v="7"/>
    <n v="55"/>
    <n v="5"/>
    <s v="Overweight"/>
    <x v="18"/>
    <n v="75"/>
    <n v="5500"/>
    <s v="None"/>
    <x v="1"/>
    <x v="2"/>
    <x v="1"/>
    <x v="0"/>
    <x v="0"/>
    <x v="0"/>
    <x v="0"/>
  </r>
  <r>
    <n v="265"/>
    <x v="0"/>
    <n v="48"/>
    <x v="1"/>
    <n v="7.3"/>
    <n v="7"/>
    <n v="65"/>
    <n v="5"/>
    <s v="Obese"/>
    <x v="21"/>
    <n v="83"/>
    <n v="3500"/>
    <s v="Insomnia"/>
    <x v="1"/>
    <x v="2"/>
    <x v="3"/>
    <x v="0"/>
    <x v="1"/>
    <x v="1"/>
    <x v="2"/>
  </r>
  <r>
    <n v="266"/>
    <x v="1"/>
    <n v="48"/>
    <x v="4"/>
    <n v="5.9"/>
    <n v="6"/>
    <n v="90"/>
    <n v="8"/>
    <s v="Overweight"/>
    <x v="22"/>
    <n v="75"/>
    <n v="10000"/>
    <s v="Sleep Apnea"/>
    <x v="1"/>
    <x v="0"/>
    <x v="4"/>
    <x v="1"/>
    <x v="1"/>
    <x v="0"/>
    <x v="1"/>
  </r>
  <r>
    <n v="267"/>
    <x v="0"/>
    <n v="48"/>
    <x v="1"/>
    <n v="7.3"/>
    <n v="7"/>
    <n v="65"/>
    <n v="5"/>
    <s v="Obese"/>
    <x v="21"/>
    <n v="83"/>
    <n v="3500"/>
    <s v="Insomnia"/>
    <x v="1"/>
    <x v="2"/>
    <x v="3"/>
    <x v="0"/>
    <x v="1"/>
    <x v="1"/>
    <x v="2"/>
  </r>
  <r>
    <n v="268"/>
    <x v="1"/>
    <n v="49"/>
    <x v="4"/>
    <n v="6.2"/>
    <n v="6"/>
    <n v="90"/>
    <n v="8"/>
    <s v="Overweight"/>
    <x v="22"/>
    <n v="75"/>
    <n v="10000"/>
    <s v="None"/>
    <x v="1"/>
    <x v="0"/>
    <x v="4"/>
    <x v="1"/>
    <x v="1"/>
    <x v="0"/>
    <x v="1"/>
  </r>
  <r>
    <n v="269"/>
    <x v="1"/>
    <n v="49"/>
    <x v="4"/>
    <n v="6"/>
    <n v="6"/>
    <n v="90"/>
    <n v="8"/>
    <s v="Overweight"/>
    <x v="22"/>
    <n v="75"/>
    <n v="10000"/>
    <s v="Sleep Apnea"/>
    <x v="1"/>
    <x v="0"/>
    <x v="4"/>
    <x v="1"/>
    <x v="1"/>
    <x v="0"/>
    <x v="1"/>
  </r>
  <r>
    <n v="270"/>
    <x v="1"/>
    <n v="49"/>
    <x v="4"/>
    <n v="6.1"/>
    <n v="6"/>
    <n v="90"/>
    <n v="8"/>
    <s v="Overweight"/>
    <x v="22"/>
    <n v="75"/>
    <n v="10000"/>
    <s v="Sleep Apnea"/>
    <x v="1"/>
    <x v="0"/>
    <x v="4"/>
    <x v="1"/>
    <x v="1"/>
    <x v="0"/>
    <x v="1"/>
  </r>
  <r>
    <n v="271"/>
    <x v="1"/>
    <n v="49"/>
    <x v="4"/>
    <n v="6.1"/>
    <n v="6"/>
    <n v="90"/>
    <n v="8"/>
    <s v="Overweight"/>
    <x v="22"/>
    <n v="75"/>
    <n v="10000"/>
    <s v="Sleep Apnea"/>
    <x v="1"/>
    <x v="0"/>
    <x v="4"/>
    <x v="1"/>
    <x v="1"/>
    <x v="0"/>
    <x v="1"/>
  </r>
  <r>
    <n v="272"/>
    <x v="1"/>
    <n v="49"/>
    <x v="4"/>
    <n v="6.1"/>
    <n v="6"/>
    <n v="90"/>
    <n v="8"/>
    <s v="Overweight"/>
    <x v="22"/>
    <n v="75"/>
    <n v="10000"/>
    <s v="Sleep Apnea"/>
    <x v="1"/>
    <x v="0"/>
    <x v="4"/>
    <x v="1"/>
    <x v="1"/>
    <x v="0"/>
    <x v="1"/>
  </r>
  <r>
    <n v="273"/>
    <x v="1"/>
    <n v="49"/>
    <x v="4"/>
    <n v="6.1"/>
    <n v="6"/>
    <n v="90"/>
    <n v="8"/>
    <s v="Overweight"/>
    <x v="22"/>
    <n v="75"/>
    <n v="10000"/>
    <s v="Sleep Apnea"/>
    <x v="1"/>
    <x v="0"/>
    <x v="4"/>
    <x v="1"/>
    <x v="1"/>
    <x v="0"/>
    <x v="1"/>
  </r>
  <r>
    <n v="274"/>
    <x v="1"/>
    <n v="49"/>
    <x v="4"/>
    <n v="6.2"/>
    <n v="6"/>
    <n v="90"/>
    <n v="8"/>
    <s v="Overweight"/>
    <x v="22"/>
    <n v="75"/>
    <n v="10000"/>
    <s v="Sleep Apnea"/>
    <x v="1"/>
    <x v="0"/>
    <x v="4"/>
    <x v="1"/>
    <x v="1"/>
    <x v="0"/>
    <x v="1"/>
  </r>
  <r>
    <n v="275"/>
    <x v="1"/>
    <n v="49"/>
    <x v="4"/>
    <n v="6.2"/>
    <n v="6"/>
    <n v="90"/>
    <n v="8"/>
    <s v="Overweight"/>
    <x v="22"/>
    <n v="75"/>
    <n v="10000"/>
    <s v="Sleep Apnea"/>
    <x v="1"/>
    <x v="0"/>
    <x v="4"/>
    <x v="1"/>
    <x v="1"/>
    <x v="0"/>
    <x v="1"/>
  </r>
  <r>
    <n v="276"/>
    <x v="1"/>
    <n v="49"/>
    <x v="4"/>
    <n v="6.2"/>
    <n v="6"/>
    <n v="90"/>
    <n v="8"/>
    <s v="Overweight"/>
    <x v="22"/>
    <n v="75"/>
    <n v="10000"/>
    <s v="Sleep Apnea"/>
    <x v="1"/>
    <x v="0"/>
    <x v="4"/>
    <x v="1"/>
    <x v="1"/>
    <x v="0"/>
    <x v="1"/>
  </r>
  <r>
    <n v="277"/>
    <x v="0"/>
    <n v="49"/>
    <x v="1"/>
    <n v="8.1"/>
    <n v="9"/>
    <n v="85"/>
    <n v="3"/>
    <s v="Obese"/>
    <x v="23"/>
    <n v="86"/>
    <n v="3700"/>
    <s v="Sleep Apnea"/>
    <x v="1"/>
    <x v="3"/>
    <x v="4"/>
    <x v="2"/>
    <x v="2"/>
    <x v="1"/>
    <x v="2"/>
  </r>
  <r>
    <n v="278"/>
    <x v="0"/>
    <n v="49"/>
    <x v="1"/>
    <n v="8.1"/>
    <n v="9"/>
    <n v="85"/>
    <n v="3"/>
    <s v="Obese"/>
    <x v="23"/>
    <n v="86"/>
    <n v="3700"/>
    <s v="Sleep Apnea"/>
    <x v="1"/>
    <x v="3"/>
    <x v="4"/>
    <x v="2"/>
    <x v="2"/>
    <x v="1"/>
    <x v="2"/>
  </r>
  <r>
    <n v="279"/>
    <x v="1"/>
    <n v="50"/>
    <x v="4"/>
    <n v="6.1"/>
    <n v="6"/>
    <n v="90"/>
    <n v="8"/>
    <s v="Overweight"/>
    <x v="22"/>
    <n v="75"/>
    <n v="10000"/>
    <s v="Insomnia"/>
    <x v="2"/>
    <x v="0"/>
    <x v="4"/>
    <x v="1"/>
    <x v="1"/>
    <x v="0"/>
    <x v="1"/>
  </r>
  <r>
    <n v="280"/>
    <x v="1"/>
    <n v="50"/>
    <x v="5"/>
    <n v="8.3000000000000007"/>
    <n v="9"/>
    <n v="30"/>
    <n v="3"/>
    <s v="Normal"/>
    <x v="1"/>
    <n v="65"/>
    <n v="5000"/>
    <s v="None"/>
    <x v="2"/>
    <x v="3"/>
    <x v="2"/>
    <x v="2"/>
    <x v="0"/>
    <x v="3"/>
    <x v="0"/>
  </r>
  <r>
    <n v="281"/>
    <x v="1"/>
    <n v="50"/>
    <x v="4"/>
    <n v="6"/>
    <n v="6"/>
    <n v="90"/>
    <n v="8"/>
    <s v="Overweight"/>
    <x v="22"/>
    <n v="75"/>
    <n v="10000"/>
    <s v="None"/>
    <x v="2"/>
    <x v="0"/>
    <x v="4"/>
    <x v="1"/>
    <x v="1"/>
    <x v="0"/>
    <x v="1"/>
  </r>
  <r>
    <n v="282"/>
    <x v="1"/>
    <n v="50"/>
    <x v="4"/>
    <n v="6.1"/>
    <n v="6"/>
    <n v="90"/>
    <n v="8"/>
    <s v="Overweight"/>
    <x v="22"/>
    <n v="75"/>
    <n v="10000"/>
    <s v="Sleep Apnea"/>
    <x v="2"/>
    <x v="0"/>
    <x v="4"/>
    <x v="1"/>
    <x v="1"/>
    <x v="0"/>
    <x v="1"/>
  </r>
  <r>
    <n v="283"/>
    <x v="1"/>
    <n v="50"/>
    <x v="4"/>
    <n v="6"/>
    <n v="6"/>
    <n v="90"/>
    <n v="8"/>
    <s v="Overweight"/>
    <x v="22"/>
    <n v="75"/>
    <n v="10000"/>
    <s v="Sleep Apnea"/>
    <x v="2"/>
    <x v="0"/>
    <x v="4"/>
    <x v="1"/>
    <x v="1"/>
    <x v="0"/>
    <x v="1"/>
  </r>
  <r>
    <n v="284"/>
    <x v="1"/>
    <n v="50"/>
    <x v="4"/>
    <n v="6"/>
    <n v="6"/>
    <n v="90"/>
    <n v="8"/>
    <s v="Overweight"/>
    <x v="22"/>
    <n v="75"/>
    <n v="10000"/>
    <s v="Sleep Apnea"/>
    <x v="2"/>
    <x v="0"/>
    <x v="4"/>
    <x v="1"/>
    <x v="1"/>
    <x v="0"/>
    <x v="1"/>
  </r>
  <r>
    <n v="285"/>
    <x v="1"/>
    <n v="50"/>
    <x v="4"/>
    <n v="6"/>
    <n v="6"/>
    <n v="90"/>
    <n v="8"/>
    <s v="Overweight"/>
    <x v="22"/>
    <n v="75"/>
    <n v="10000"/>
    <s v="Sleep Apnea"/>
    <x v="2"/>
    <x v="0"/>
    <x v="4"/>
    <x v="1"/>
    <x v="1"/>
    <x v="0"/>
    <x v="1"/>
  </r>
  <r>
    <n v="286"/>
    <x v="1"/>
    <n v="50"/>
    <x v="4"/>
    <n v="6"/>
    <n v="6"/>
    <n v="90"/>
    <n v="8"/>
    <s v="Overweight"/>
    <x v="22"/>
    <n v="75"/>
    <n v="10000"/>
    <s v="Sleep Apnea"/>
    <x v="2"/>
    <x v="0"/>
    <x v="4"/>
    <x v="1"/>
    <x v="1"/>
    <x v="0"/>
    <x v="1"/>
  </r>
  <r>
    <n v="287"/>
    <x v="1"/>
    <n v="50"/>
    <x v="4"/>
    <n v="6"/>
    <n v="6"/>
    <n v="90"/>
    <n v="8"/>
    <s v="Overweight"/>
    <x v="22"/>
    <n v="75"/>
    <n v="10000"/>
    <s v="Sleep Apnea"/>
    <x v="2"/>
    <x v="0"/>
    <x v="4"/>
    <x v="1"/>
    <x v="1"/>
    <x v="0"/>
    <x v="1"/>
  </r>
  <r>
    <n v="288"/>
    <x v="1"/>
    <n v="50"/>
    <x v="4"/>
    <n v="6"/>
    <n v="6"/>
    <n v="90"/>
    <n v="8"/>
    <s v="Overweight"/>
    <x v="22"/>
    <n v="75"/>
    <n v="10000"/>
    <s v="Sleep Apnea"/>
    <x v="2"/>
    <x v="0"/>
    <x v="4"/>
    <x v="1"/>
    <x v="1"/>
    <x v="0"/>
    <x v="1"/>
  </r>
  <r>
    <n v="289"/>
    <x v="1"/>
    <n v="50"/>
    <x v="4"/>
    <n v="6"/>
    <n v="6"/>
    <n v="90"/>
    <n v="8"/>
    <s v="Overweight"/>
    <x v="22"/>
    <n v="75"/>
    <n v="10000"/>
    <s v="Sleep Apnea"/>
    <x v="2"/>
    <x v="0"/>
    <x v="4"/>
    <x v="1"/>
    <x v="1"/>
    <x v="0"/>
    <x v="1"/>
  </r>
  <r>
    <n v="290"/>
    <x v="1"/>
    <n v="50"/>
    <x v="4"/>
    <n v="6.1"/>
    <n v="6"/>
    <n v="90"/>
    <n v="8"/>
    <s v="Overweight"/>
    <x v="22"/>
    <n v="75"/>
    <n v="10000"/>
    <s v="Sleep Apnea"/>
    <x v="2"/>
    <x v="0"/>
    <x v="4"/>
    <x v="1"/>
    <x v="1"/>
    <x v="0"/>
    <x v="1"/>
  </r>
  <r>
    <n v="291"/>
    <x v="1"/>
    <n v="50"/>
    <x v="4"/>
    <n v="6"/>
    <n v="6"/>
    <n v="90"/>
    <n v="8"/>
    <s v="Overweight"/>
    <x v="22"/>
    <n v="75"/>
    <n v="10000"/>
    <s v="Sleep Apnea"/>
    <x v="2"/>
    <x v="0"/>
    <x v="4"/>
    <x v="1"/>
    <x v="1"/>
    <x v="0"/>
    <x v="1"/>
  </r>
  <r>
    <n v="292"/>
    <x v="1"/>
    <n v="50"/>
    <x v="4"/>
    <n v="6.1"/>
    <n v="6"/>
    <n v="90"/>
    <n v="8"/>
    <s v="Overweight"/>
    <x v="22"/>
    <n v="75"/>
    <n v="10000"/>
    <s v="Sleep Apnea"/>
    <x v="2"/>
    <x v="0"/>
    <x v="4"/>
    <x v="1"/>
    <x v="1"/>
    <x v="0"/>
    <x v="1"/>
  </r>
  <r>
    <n v="293"/>
    <x v="1"/>
    <n v="50"/>
    <x v="4"/>
    <n v="6.1"/>
    <n v="6"/>
    <n v="90"/>
    <n v="8"/>
    <s v="Overweight"/>
    <x v="22"/>
    <n v="75"/>
    <n v="10000"/>
    <s v="Sleep Apnea"/>
    <x v="2"/>
    <x v="0"/>
    <x v="4"/>
    <x v="1"/>
    <x v="1"/>
    <x v="0"/>
    <x v="1"/>
  </r>
  <r>
    <n v="294"/>
    <x v="1"/>
    <n v="50"/>
    <x v="4"/>
    <n v="6"/>
    <n v="6"/>
    <n v="90"/>
    <n v="8"/>
    <s v="Overweight"/>
    <x v="22"/>
    <n v="75"/>
    <n v="10000"/>
    <s v="Sleep Apnea"/>
    <x v="2"/>
    <x v="0"/>
    <x v="4"/>
    <x v="1"/>
    <x v="1"/>
    <x v="0"/>
    <x v="1"/>
  </r>
  <r>
    <n v="295"/>
    <x v="1"/>
    <n v="50"/>
    <x v="4"/>
    <n v="6.1"/>
    <n v="6"/>
    <n v="90"/>
    <n v="8"/>
    <s v="Overweight"/>
    <x v="22"/>
    <n v="75"/>
    <n v="10000"/>
    <s v="Sleep Apnea"/>
    <x v="2"/>
    <x v="0"/>
    <x v="4"/>
    <x v="1"/>
    <x v="1"/>
    <x v="0"/>
    <x v="1"/>
  </r>
  <r>
    <n v="296"/>
    <x v="1"/>
    <n v="50"/>
    <x v="4"/>
    <n v="6"/>
    <n v="6"/>
    <n v="90"/>
    <n v="8"/>
    <s v="Overweight"/>
    <x v="22"/>
    <n v="75"/>
    <n v="10000"/>
    <s v="Sleep Apnea"/>
    <x v="2"/>
    <x v="0"/>
    <x v="4"/>
    <x v="1"/>
    <x v="1"/>
    <x v="0"/>
    <x v="1"/>
  </r>
  <r>
    <n v="297"/>
    <x v="1"/>
    <n v="50"/>
    <x v="4"/>
    <n v="6.1"/>
    <n v="6"/>
    <n v="90"/>
    <n v="8"/>
    <s v="Overweight"/>
    <x v="22"/>
    <n v="75"/>
    <n v="10000"/>
    <s v="Sleep Apnea"/>
    <x v="2"/>
    <x v="0"/>
    <x v="4"/>
    <x v="1"/>
    <x v="1"/>
    <x v="0"/>
    <x v="1"/>
  </r>
  <r>
    <n v="298"/>
    <x v="1"/>
    <n v="50"/>
    <x v="4"/>
    <n v="6.1"/>
    <n v="6"/>
    <n v="90"/>
    <n v="8"/>
    <s v="Overweight"/>
    <x v="22"/>
    <n v="75"/>
    <n v="10000"/>
    <s v="Sleep Apnea"/>
    <x v="2"/>
    <x v="0"/>
    <x v="4"/>
    <x v="1"/>
    <x v="1"/>
    <x v="0"/>
    <x v="1"/>
  </r>
  <r>
    <n v="299"/>
    <x v="1"/>
    <n v="51"/>
    <x v="5"/>
    <n v="8.5"/>
    <n v="9"/>
    <n v="30"/>
    <n v="3"/>
    <s v="Normal"/>
    <x v="1"/>
    <n v="65"/>
    <n v="5000"/>
    <s v="None"/>
    <x v="2"/>
    <x v="3"/>
    <x v="2"/>
    <x v="2"/>
    <x v="0"/>
    <x v="3"/>
    <x v="0"/>
  </r>
  <r>
    <n v="300"/>
    <x v="1"/>
    <n v="51"/>
    <x v="5"/>
    <n v="8.5"/>
    <n v="9"/>
    <n v="30"/>
    <n v="3"/>
    <s v="Normal"/>
    <x v="1"/>
    <n v="65"/>
    <n v="5000"/>
    <s v="None"/>
    <x v="2"/>
    <x v="3"/>
    <x v="2"/>
    <x v="2"/>
    <x v="0"/>
    <x v="3"/>
    <x v="0"/>
  </r>
  <r>
    <n v="301"/>
    <x v="1"/>
    <n v="51"/>
    <x v="5"/>
    <n v="8.5"/>
    <n v="9"/>
    <n v="30"/>
    <n v="3"/>
    <s v="Normal"/>
    <x v="1"/>
    <n v="65"/>
    <n v="5000"/>
    <s v="None"/>
    <x v="2"/>
    <x v="3"/>
    <x v="2"/>
    <x v="2"/>
    <x v="0"/>
    <x v="3"/>
    <x v="0"/>
  </r>
  <r>
    <n v="302"/>
    <x v="1"/>
    <n v="51"/>
    <x v="5"/>
    <n v="8.5"/>
    <n v="9"/>
    <n v="30"/>
    <n v="3"/>
    <s v="Normal"/>
    <x v="1"/>
    <n v="65"/>
    <n v="5000"/>
    <s v="None"/>
    <x v="2"/>
    <x v="3"/>
    <x v="2"/>
    <x v="2"/>
    <x v="0"/>
    <x v="3"/>
    <x v="0"/>
  </r>
  <r>
    <n v="303"/>
    <x v="1"/>
    <n v="51"/>
    <x v="4"/>
    <n v="7.1"/>
    <n v="7"/>
    <n v="55"/>
    <n v="6"/>
    <s v="Normal Weight"/>
    <x v="18"/>
    <n v="72"/>
    <n v="6000"/>
    <s v="None"/>
    <x v="2"/>
    <x v="2"/>
    <x v="1"/>
    <x v="0"/>
    <x v="0"/>
    <x v="2"/>
    <x v="3"/>
  </r>
  <r>
    <n v="304"/>
    <x v="1"/>
    <n v="51"/>
    <x v="4"/>
    <n v="6"/>
    <n v="6"/>
    <n v="90"/>
    <n v="8"/>
    <s v="Overweight"/>
    <x v="22"/>
    <n v="75"/>
    <n v="10000"/>
    <s v="Sleep Apnea"/>
    <x v="2"/>
    <x v="0"/>
    <x v="4"/>
    <x v="1"/>
    <x v="1"/>
    <x v="0"/>
    <x v="1"/>
  </r>
  <r>
    <n v="305"/>
    <x v="1"/>
    <n v="51"/>
    <x v="4"/>
    <n v="6.1"/>
    <n v="6"/>
    <n v="90"/>
    <n v="8"/>
    <s v="Overweight"/>
    <x v="22"/>
    <n v="75"/>
    <n v="10000"/>
    <s v="Sleep Apnea"/>
    <x v="2"/>
    <x v="0"/>
    <x v="4"/>
    <x v="1"/>
    <x v="1"/>
    <x v="0"/>
    <x v="1"/>
  </r>
  <r>
    <n v="306"/>
    <x v="1"/>
    <n v="51"/>
    <x v="4"/>
    <n v="6.1"/>
    <n v="6"/>
    <n v="90"/>
    <n v="8"/>
    <s v="Overweight"/>
    <x v="22"/>
    <n v="75"/>
    <n v="10000"/>
    <s v="Sleep Apnea"/>
    <x v="2"/>
    <x v="0"/>
    <x v="4"/>
    <x v="1"/>
    <x v="1"/>
    <x v="0"/>
    <x v="1"/>
  </r>
  <r>
    <n v="307"/>
    <x v="1"/>
    <n v="52"/>
    <x v="6"/>
    <n v="6.5"/>
    <n v="7"/>
    <n v="45"/>
    <n v="7"/>
    <s v="Overweight"/>
    <x v="14"/>
    <n v="72"/>
    <n v="6000"/>
    <s v="Insomnia"/>
    <x v="2"/>
    <x v="2"/>
    <x v="0"/>
    <x v="1"/>
    <x v="2"/>
    <x v="2"/>
    <x v="3"/>
  </r>
  <r>
    <n v="308"/>
    <x v="1"/>
    <n v="52"/>
    <x v="6"/>
    <n v="6.5"/>
    <n v="7"/>
    <n v="45"/>
    <n v="7"/>
    <s v="Overweight"/>
    <x v="14"/>
    <n v="72"/>
    <n v="6000"/>
    <s v="Insomnia"/>
    <x v="2"/>
    <x v="2"/>
    <x v="0"/>
    <x v="1"/>
    <x v="2"/>
    <x v="2"/>
    <x v="3"/>
  </r>
  <r>
    <n v="309"/>
    <x v="1"/>
    <n v="52"/>
    <x v="6"/>
    <n v="6.6"/>
    <n v="7"/>
    <n v="45"/>
    <n v="7"/>
    <s v="Overweight"/>
    <x v="14"/>
    <n v="72"/>
    <n v="6000"/>
    <s v="Insomnia"/>
    <x v="2"/>
    <x v="2"/>
    <x v="0"/>
    <x v="1"/>
    <x v="2"/>
    <x v="2"/>
    <x v="3"/>
  </r>
  <r>
    <n v="310"/>
    <x v="1"/>
    <n v="52"/>
    <x v="6"/>
    <n v="6.6"/>
    <n v="7"/>
    <n v="45"/>
    <n v="7"/>
    <s v="Overweight"/>
    <x v="14"/>
    <n v="72"/>
    <n v="6000"/>
    <s v="Insomnia"/>
    <x v="2"/>
    <x v="2"/>
    <x v="0"/>
    <x v="1"/>
    <x v="2"/>
    <x v="2"/>
    <x v="3"/>
  </r>
  <r>
    <n v="311"/>
    <x v="1"/>
    <n v="52"/>
    <x v="6"/>
    <n v="6.6"/>
    <n v="7"/>
    <n v="45"/>
    <n v="7"/>
    <s v="Overweight"/>
    <x v="14"/>
    <n v="72"/>
    <n v="6000"/>
    <s v="Insomnia"/>
    <x v="2"/>
    <x v="2"/>
    <x v="0"/>
    <x v="1"/>
    <x v="2"/>
    <x v="2"/>
    <x v="3"/>
  </r>
  <r>
    <n v="312"/>
    <x v="1"/>
    <n v="52"/>
    <x v="6"/>
    <n v="6.6"/>
    <n v="7"/>
    <n v="45"/>
    <n v="7"/>
    <s v="Overweight"/>
    <x v="14"/>
    <n v="72"/>
    <n v="6000"/>
    <s v="Insomnia"/>
    <x v="2"/>
    <x v="2"/>
    <x v="0"/>
    <x v="1"/>
    <x v="2"/>
    <x v="2"/>
    <x v="3"/>
  </r>
  <r>
    <n v="313"/>
    <x v="1"/>
    <n v="52"/>
    <x v="5"/>
    <n v="8.4"/>
    <n v="9"/>
    <n v="30"/>
    <n v="3"/>
    <s v="Normal"/>
    <x v="1"/>
    <n v="65"/>
    <n v="5000"/>
    <s v="None"/>
    <x v="2"/>
    <x v="3"/>
    <x v="2"/>
    <x v="2"/>
    <x v="0"/>
    <x v="3"/>
    <x v="0"/>
  </r>
  <r>
    <n v="314"/>
    <x v="1"/>
    <n v="52"/>
    <x v="5"/>
    <n v="8.4"/>
    <n v="9"/>
    <n v="30"/>
    <n v="3"/>
    <s v="Normal"/>
    <x v="1"/>
    <n v="65"/>
    <n v="5000"/>
    <s v="None"/>
    <x v="2"/>
    <x v="3"/>
    <x v="2"/>
    <x v="2"/>
    <x v="0"/>
    <x v="3"/>
    <x v="0"/>
  </r>
  <r>
    <n v="315"/>
    <x v="1"/>
    <n v="52"/>
    <x v="5"/>
    <n v="8.4"/>
    <n v="9"/>
    <n v="30"/>
    <n v="3"/>
    <s v="Normal"/>
    <x v="1"/>
    <n v="65"/>
    <n v="5000"/>
    <s v="None"/>
    <x v="2"/>
    <x v="3"/>
    <x v="2"/>
    <x v="2"/>
    <x v="0"/>
    <x v="3"/>
    <x v="0"/>
  </r>
  <r>
    <n v="316"/>
    <x v="1"/>
    <n v="53"/>
    <x v="5"/>
    <n v="8.3000000000000007"/>
    <n v="9"/>
    <n v="30"/>
    <n v="3"/>
    <s v="Normal"/>
    <x v="1"/>
    <n v="65"/>
    <n v="5000"/>
    <s v="Insomnia"/>
    <x v="2"/>
    <x v="3"/>
    <x v="2"/>
    <x v="2"/>
    <x v="0"/>
    <x v="3"/>
    <x v="0"/>
  </r>
  <r>
    <n v="317"/>
    <x v="1"/>
    <n v="53"/>
    <x v="5"/>
    <n v="8.5"/>
    <n v="9"/>
    <n v="30"/>
    <n v="3"/>
    <s v="Normal"/>
    <x v="1"/>
    <n v="65"/>
    <n v="5000"/>
    <s v="None"/>
    <x v="2"/>
    <x v="3"/>
    <x v="2"/>
    <x v="2"/>
    <x v="0"/>
    <x v="3"/>
    <x v="0"/>
  </r>
  <r>
    <n v="318"/>
    <x v="1"/>
    <n v="53"/>
    <x v="5"/>
    <n v="8.5"/>
    <n v="9"/>
    <n v="30"/>
    <n v="3"/>
    <s v="Normal"/>
    <x v="1"/>
    <n v="65"/>
    <n v="5000"/>
    <s v="None"/>
    <x v="2"/>
    <x v="3"/>
    <x v="2"/>
    <x v="2"/>
    <x v="0"/>
    <x v="3"/>
    <x v="0"/>
  </r>
  <r>
    <n v="319"/>
    <x v="1"/>
    <n v="53"/>
    <x v="5"/>
    <n v="8.4"/>
    <n v="9"/>
    <n v="30"/>
    <n v="3"/>
    <s v="Normal"/>
    <x v="1"/>
    <n v="65"/>
    <n v="5000"/>
    <s v="None"/>
    <x v="2"/>
    <x v="3"/>
    <x v="2"/>
    <x v="2"/>
    <x v="0"/>
    <x v="3"/>
    <x v="0"/>
  </r>
  <r>
    <n v="320"/>
    <x v="1"/>
    <n v="53"/>
    <x v="5"/>
    <n v="8.4"/>
    <n v="9"/>
    <n v="30"/>
    <n v="3"/>
    <s v="Normal"/>
    <x v="1"/>
    <n v="65"/>
    <n v="5000"/>
    <s v="None"/>
    <x v="2"/>
    <x v="3"/>
    <x v="2"/>
    <x v="2"/>
    <x v="0"/>
    <x v="3"/>
    <x v="0"/>
  </r>
  <r>
    <n v="321"/>
    <x v="1"/>
    <n v="53"/>
    <x v="5"/>
    <n v="8.5"/>
    <n v="9"/>
    <n v="30"/>
    <n v="3"/>
    <s v="Normal"/>
    <x v="1"/>
    <n v="65"/>
    <n v="5000"/>
    <s v="None"/>
    <x v="2"/>
    <x v="3"/>
    <x v="2"/>
    <x v="2"/>
    <x v="0"/>
    <x v="3"/>
    <x v="0"/>
  </r>
  <r>
    <n v="322"/>
    <x v="1"/>
    <n v="53"/>
    <x v="5"/>
    <n v="8.4"/>
    <n v="9"/>
    <n v="30"/>
    <n v="3"/>
    <s v="Normal"/>
    <x v="1"/>
    <n v="65"/>
    <n v="5000"/>
    <s v="None"/>
    <x v="2"/>
    <x v="3"/>
    <x v="2"/>
    <x v="2"/>
    <x v="0"/>
    <x v="3"/>
    <x v="0"/>
  </r>
  <r>
    <n v="323"/>
    <x v="1"/>
    <n v="53"/>
    <x v="5"/>
    <n v="8.4"/>
    <n v="9"/>
    <n v="30"/>
    <n v="3"/>
    <s v="Normal"/>
    <x v="1"/>
    <n v="65"/>
    <n v="5000"/>
    <s v="None"/>
    <x v="2"/>
    <x v="3"/>
    <x v="2"/>
    <x v="2"/>
    <x v="0"/>
    <x v="3"/>
    <x v="0"/>
  </r>
  <r>
    <n v="324"/>
    <x v="1"/>
    <n v="53"/>
    <x v="5"/>
    <n v="8.5"/>
    <n v="9"/>
    <n v="30"/>
    <n v="3"/>
    <s v="Normal"/>
    <x v="1"/>
    <n v="65"/>
    <n v="5000"/>
    <s v="None"/>
    <x v="2"/>
    <x v="3"/>
    <x v="2"/>
    <x v="2"/>
    <x v="0"/>
    <x v="3"/>
    <x v="0"/>
  </r>
  <r>
    <n v="325"/>
    <x v="1"/>
    <n v="53"/>
    <x v="5"/>
    <n v="8.3000000000000007"/>
    <n v="9"/>
    <n v="30"/>
    <n v="3"/>
    <s v="Normal"/>
    <x v="1"/>
    <n v="65"/>
    <n v="5000"/>
    <s v="None"/>
    <x v="2"/>
    <x v="3"/>
    <x v="2"/>
    <x v="2"/>
    <x v="0"/>
    <x v="3"/>
    <x v="0"/>
  </r>
  <r>
    <n v="326"/>
    <x v="1"/>
    <n v="53"/>
    <x v="5"/>
    <n v="8.5"/>
    <n v="9"/>
    <n v="30"/>
    <n v="3"/>
    <s v="Normal"/>
    <x v="1"/>
    <n v="65"/>
    <n v="5000"/>
    <s v="None"/>
    <x v="2"/>
    <x v="3"/>
    <x v="2"/>
    <x v="2"/>
    <x v="0"/>
    <x v="3"/>
    <x v="0"/>
  </r>
  <r>
    <n v="327"/>
    <x v="1"/>
    <n v="53"/>
    <x v="5"/>
    <n v="8.3000000000000007"/>
    <n v="9"/>
    <n v="30"/>
    <n v="3"/>
    <s v="Normal"/>
    <x v="1"/>
    <n v="65"/>
    <n v="5000"/>
    <s v="None"/>
    <x v="2"/>
    <x v="3"/>
    <x v="2"/>
    <x v="2"/>
    <x v="0"/>
    <x v="3"/>
    <x v="0"/>
  </r>
  <r>
    <n v="328"/>
    <x v="1"/>
    <n v="53"/>
    <x v="5"/>
    <n v="8.5"/>
    <n v="9"/>
    <n v="30"/>
    <n v="3"/>
    <s v="Normal"/>
    <x v="1"/>
    <n v="65"/>
    <n v="5000"/>
    <s v="None"/>
    <x v="2"/>
    <x v="3"/>
    <x v="2"/>
    <x v="2"/>
    <x v="0"/>
    <x v="3"/>
    <x v="0"/>
  </r>
  <r>
    <n v="329"/>
    <x v="1"/>
    <n v="53"/>
    <x v="5"/>
    <n v="8.3000000000000007"/>
    <n v="9"/>
    <n v="30"/>
    <n v="3"/>
    <s v="Normal"/>
    <x v="1"/>
    <n v="65"/>
    <n v="5000"/>
    <s v="None"/>
    <x v="2"/>
    <x v="3"/>
    <x v="2"/>
    <x v="2"/>
    <x v="0"/>
    <x v="3"/>
    <x v="0"/>
  </r>
  <r>
    <n v="330"/>
    <x v="1"/>
    <n v="53"/>
    <x v="5"/>
    <n v="8.5"/>
    <n v="9"/>
    <n v="30"/>
    <n v="3"/>
    <s v="Normal"/>
    <x v="1"/>
    <n v="65"/>
    <n v="5000"/>
    <s v="None"/>
    <x v="2"/>
    <x v="3"/>
    <x v="2"/>
    <x v="2"/>
    <x v="0"/>
    <x v="3"/>
    <x v="0"/>
  </r>
  <r>
    <n v="331"/>
    <x v="1"/>
    <n v="53"/>
    <x v="5"/>
    <n v="8.5"/>
    <n v="9"/>
    <n v="30"/>
    <n v="3"/>
    <s v="Normal"/>
    <x v="1"/>
    <n v="65"/>
    <n v="5000"/>
    <s v="None"/>
    <x v="2"/>
    <x v="3"/>
    <x v="2"/>
    <x v="2"/>
    <x v="0"/>
    <x v="3"/>
    <x v="0"/>
  </r>
  <r>
    <n v="332"/>
    <x v="1"/>
    <n v="53"/>
    <x v="5"/>
    <n v="8.4"/>
    <n v="9"/>
    <n v="30"/>
    <n v="3"/>
    <s v="Normal"/>
    <x v="1"/>
    <n v="65"/>
    <n v="5000"/>
    <s v="None"/>
    <x v="2"/>
    <x v="3"/>
    <x v="2"/>
    <x v="2"/>
    <x v="0"/>
    <x v="3"/>
    <x v="0"/>
  </r>
  <r>
    <n v="333"/>
    <x v="1"/>
    <n v="54"/>
    <x v="5"/>
    <n v="8.4"/>
    <n v="9"/>
    <n v="30"/>
    <n v="3"/>
    <s v="Normal"/>
    <x v="1"/>
    <n v="65"/>
    <n v="5000"/>
    <s v="None"/>
    <x v="2"/>
    <x v="3"/>
    <x v="2"/>
    <x v="2"/>
    <x v="0"/>
    <x v="3"/>
    <x v="0"/>
  </r>
  <r>
    <n v="334"/>
    <x v="1"/>
    <n v="54"/>
    <x v="5"/>
    <n v="8.4"/>
    <n v="9"/>
    <n v="30"/>
    <n v="3"/>
    <s v="Normal"/>
    <x v="1"/>
    <n v="65"/>
    <n v="5000"/>
    <s v="None"/>
    <x v="2"/>
    <x v="3"/>
    <x v="2"/>
    <x v="2"/>
    <x v="0"/>
    <x v="3"/>
    <x v="0"/>
  </r>
  <r>
    <n v="335"/>
    <x v="1"/>
    <n v="54"/>
    <x v="5"/>
    <n v="8.4"/>
    <n v="9"/>
    <n v="30"/>
    <n v="3"/>
    <s v="Normal"/>
    <x v="1"/>
    <n v="65"/>
    <n v="5000"/>
    <s v="None"/>
    <x v="2"/>
    <x v="3"/>
    <x v="2"/>
    <x v="2"/>
    <x v="0"/>
    <x v="3"/>
    <x v="0"/>
  </r>
  <r>
    <n v="336"/>
    <x v="1"/>
    <n v="54"/>
    <x v="5"/>
    <n v="8.4"/>
    <n v="9"/>
    <n v="30"/>
    <n v="3"/>
    <s v="Normal"/>
    <x v="1"/>
    <n v="65"/>
    <n v="5000"/>
    <s v="None"/>
    <x v="2"/>
    <x v="3"/>
    <x v="2"/>
    <x v="2"/>
    <x v="0"/>
    <x v="3"/>
    <x v="0"/>
  </r>
  <r>
    <n v="337"/>
    <x v="1"/>
    <n v="54"/>
    <x v="5"/>
    <n v="8.4"/>
    <n v="9"/>
    <n v="30"/>
    <n v="3"/>
    <s v="Normal"/>
    <x v="1"/>
    <n v="65"/>
    <n v="5000"/>
    <s v="None"/>
    <x v="2"/>
    <x v="3"/>
    <x v="2"/>
    <x v="2"/>
    <x v="0"/>
    <x v="3"/>
    <x v="0"/>
  </r>
  <r>
    <n v="338"/>
    <x v="1"/>
    <n v="54"/>
    <x v="5"/>
    <n v="8.4"/>
    <n v="9"/>
    <n v="30"/>
    <n v="3"/>
    <s v="Normal"/>
    <x v="1"/>
    <n v="65"/>
    <n v="5000"/>
    <s v="None"/>
    <x v="2"/>
    <x v="3"/>
    <x v="2"/>
    <x v="2"/>
    <x v="0"/>
    <x v="3"/>
    <x v="0"/>
  </r>
  <r>
    <n v="339"/>
    <x v="1"/>
    <n v="54"/>
    <x v="5"/>
    <n v="8.5"/>
    <n v="9"/>
    <n v="30"/>
    <n v="3"/>
    <s v="Normal"/>
    <x v="1"/>
    <n v="65"/>
    <n v="5000"/>
    <s v="None"/>
    <x v="2"/>
    <x v="3"/>
    <x v="2"/>
    <x v="2"/>
    <x v="0"/>
    <x v="3"/>
    <x v="0"/>
  </r>
  <r>
    <n v="340"/>
    <x v="1"/>
    <n v="55"/>
    <x v="4"/>
    <n v="8.1"/>
    <n v="9"/>
    <n v="75"/>
    <n v="4"/>
    <s v="Overweight"/>
    <x v="22"/>
    <n v="72"/>
    <n v="5000"/>
    <s v="Sleep Apnea"/>
    <x v="2"/>
    <x v="3"/>
    <x v="3"/>
    <x v="2"/>
    <x v="1"/>
    <x v="2"/>
    <x v="0"/>
  </r>
  <r>
    <n v="341"/>
    <x v="1"/>
    <n v="55"/>
    <x v="4"/>
    <n v="8.1"/>
    <n v="9"/>
    <n v="75"/>
    <n v="4"/>
    <s v="Overweight"/>
    <x v="22"/>
    <n v="72"/>
    <n v="5000"/>
    <s v="Sleep Apnea"/>
    <x v="2"/>
    <x v="3"/>
    <x v="3"/>
    <x v="2"/>
    <x v="1"/>
    <x v="2"/>
    <x v="0"/>
  </r>
  <r>
    <n v="342"/>
    <x v="1"/>
    <n v="56"/>
    <x v="1"/>
    <n v="8.1999999999999993"/>
    <n v="9"/>
    <n v="90"/>
    <n v="3"/>
    <s v="Normal Weight"/>
    <x v="24"/>
    <n v="65"/>
    <n v="10000"/>
    <s v="None"/>
    <x v="2"/>
    <x v="3"/>
    <x v="4"/>
    <x v="2"/>
    <x v="3"/>
    <x v="3"/>
    <x v="1"/>
  </r>
  <r>
    <n v="343"/>
    <x v="1"/>
    <n v="56"/>
    <x v="1"/>
    <n v="8.1999999999999993"/>
    <n v="9"/>
    <n v="90"/>
    <n v="3"/>
    <s v="Normal Weight"/>
    <x v="24"/>
    <n v="65"/>
    <n v="10000"/>
    <s v="None"/>
    <x v="2"/>
    <x v="3"/>
    <x v="4"/>
    <x v="2"/>
    <x v="3"/>
    <x v="3"/>
    <x v="1"/>
  </r>
  <r>
    <n v="344"/>
    <x v="1"/>
    <n v="57"/>
    <x v="4"/>
    <n v="8.1"/>
    <n v="9"/>
    <n v="75"/>
    <n v="3"/>
    <s v="Overweight"/>
    <x v="22"/>
    <n v="68"/>
    <n v="7000"/>
    <s v="None"/>
    <x v="2"/>
    <x v="3"/>
    <x v="3"/>
    <x v="2"/>
    <x v="1"/>
    <x v="3"/>
    <x v="3"/>
  </r>
  <r>
    <n v="345"/>
    <x v="1"/>
    <n v="57"/>
    <x v="4"/>
    <n v="8.1999999999999993"/>
    <n v="9"/>
    <n v="75"/>
    <n v="3"/>
    <s v="Overweight"/>
    <x v="22"/>
    <n v="68"/>
    <n v="7000"/>
    <s v="Sleep Apnea"/>
    <x v="2"/>
    <x v="3"/>
    <x v="3"/>
    <x v="2"/>
    <x v="1"/>
    <x v="3"/>
    <x v="3"/>
  </r>
  <r>
    <n v="346"/>
    <x v="1"/>
    <n v="57"/>
    <x v="4"/>
    <n v="8.1999999999999993"/>
    <n v="9"/>
    <n v="75"/>
    <n v="3"/>
    <s v="Overweight"/>
    <x v="22"/>
    <n v="68"/>
    <n v="7000"/>
    <s v="Sleep Apnea"/>
    <x v="2"/>
    <x v="3"/>
    <x v="3"/>
    <x v="2"/>
    <x v="1"/>
    <x v="3"/>
    <x v="3"/>
  </r>
  <r>
    <n v="347"/>
    <x v="1"/>
    <n v="57"/>
    <x v="4"/>
    <n v="8.1999999999999993"/>
    <n v="9"/>
    <n v="75"/>
    <n v="3"/>
    <s v="Overweight"/>
    <x v="22"/>
    <n v="68"/>
    <n v="7000"/>
    <s v="Sleep Apnea"/>
    <x v="2"/>
    <x v="3"/>
    <x v="3"/>
    <x v="2"/>
    <x v="1"/>
    <x v="3"/>
    <x v="3"/>
  </r>
  <r>
    <n v="348"/>
    <x v="1"/>
    <n v="57"/>
    <x v="4"/>
    <n v="8.1999999999999993"/>
    <n v="9"/>
    <n v="75"/>
    <n v="3"/>
    <s v="Overweight"/>
    <x v="22"/>
    <n v="68"/>
    <n v="7000"/>
    <s v="Sleep Apnea"/>
    <x v="2"/>
    <x v="3"/>
    <x v="3"/>
    <x v="2"/>
    <x v="1"/>
    <x v="3"/>
    <x v="3"/>
  </r>
  <r>
    <n v="349"/>
    <x v="1"/>
    <n v="57"/>
    <x v="4"/>
    <n v="8.1999999999999993"/>
    <n v="9"/>
    <n v="75"/>
    <n v="3"/>
    <s v="Overweight"/>
    <x v="22"/>
    <n v="68"/>
    <n v="7000"/>
    <s v="Sleep Apnea"/>
    <x v="2"/>
    <x v="3"/>
    <x v="3"/>
    <x v="2"/>
    <x v="1"/>
    <x v="3"/>
    <x v="3"/>
  </r>
  <r>
    <n v="350"/>
    <x v="1"/>
    <n v="57"/>
    <x v="4"/>
    <n v="8.1"/>
    <n v="9"/>
    <n v="75"/>
    <n v="3"/>
    <s v="Overweight"/>
    <x v="22"/>
    <n v="68"/>
    <n v="7000"/>
    <s v="Sleep Apnea"/>
    <x v="2"/>
    <x v="3"/>
    <x v="3"/>
    <x v="2"/>
    <x v="1"/>
    <x v="3"/>
    <x v="3"/>
  </r>
  <r>
    <n v="351"/>
    <x v="1"/>
    <n v="57"/>
    <x v="4"/>
    <n v="8.1"/>
    <n v="9"/>
    <n v="75"/>
    <n v="3"/>
    <s v="Overweight"/>
    <x v="22"/>
    <n v="68"/>
    <n v="7000"/>
    <s v="Sleep Apnea"/>
    <x v="2"/>
    <x v="3"/>
    <x v="3"/>
    <x v="2"/>
    <x v="1"/>
    <x v="3"/>
    <x v="3"/>
  </r>
  <r>
    <n v="352"/>
    <x v="1"/>
    <n v="57"/>
    <x v="4"/>
    <n v="8.1"/>
    <n v="9"/>
    <n v="75"/>
    <n v="3"/>
    <s v="Overweight"/>
    <x v="22"/>
    <n v="68"/>
    <n v="7000"/>
    <s v="Sleep Apnea"/>
    <x v="2"/>
    <x v="3"/>
    <x v="3"/>
    <x v="2"/>
    <x v="1"/>
    <x v="3"/>
    <x v="3"/>
  </r>
  <r>
    <n v="353"/>
    <x v="1"/>
    <n v="58"/>
    <x v="4"/>
    <n v="8"/>
    <n v="9"/>
    <n v="75"/>
    <n v="3"/>
    <s v="Overweight"/>
    <x v="22"/>
    <n v="68"/>
    <n v="7000"/>
    <s v="Sleep Apnea"/>
    <x v="2"/>
    <x v="3"/>
    <x v="3"/>
    <x v="2"/>
    <x v="1"/>
    <x v="3"/>
    <x v="3"/>
  </r>
  <r>
    <n v="354"/>
    <x v="1"/>
    <n v="58"/>
    <x v="4"/>
    <n v="8"/>
    <n v="9"/>
    <n v="75"/>
    <n v="3"/>
    <s v="Overweight"/>
    <x v="22"/>
    <n v="68"/>
    <n v="7000"/>
    <s v="Sleep Apnea"/>
    <x v="2"/>
    <x v="3"/>
    <x v="3"/>
    <x v="2"/>
    <x v="1"/>
    <x v="3"/>
    <x v="3"/>
  </r>
  <r>
    <n v="355"/>
    <x v="1"/>
    <n v="58"/>
    <x v="4"/>
    <n v="8"/>
    <n v="9"/>
    <n v="75"/>
    <n v="3"/>
    <s v="Overweight"/>
    <x v="22"/>
    <n v="68"/>
    <n v="7000"/>
    <s v="Sleep Apnea"/>
    <x v="2"/>
    <x v="3"/>
    <x v="3"/>
    <x v="2"/>
    <x v="1"/>
    <x v="3"/>
    <x v="3"/>
  </r>
  <r>
    <n v="356"/>
    <x v="1"/>
    <n v="58"/>
    <x v="4"/>
    <n v="8"/>
    <n v="9"/>
    <n v="75"/>
    <n v="3"/>
    <s v="Overweight"/>
    <x v="22"/>
    <n v="68"/>
    <n v="7000"/>
    <s v="Sleep Apnea"/>
    <x v="2"/>
    <x v="3"/>
    <x v="3"/>
    <x v="2"/>
    <x v="1"/>
    <x v="3"/>
    <x v="3"/>
  </r>
  <r>
    <n v="357"/>
    <x v="1"/>
    <n v="58"/>
    <x v="4"/>
    <n v="8"/>
    <n v="9"/>
    <n v="75"/>
    <n v="3"/>
    <s v="Overweight"/>
    <x v="22"/>
    <n v="68"/>
    <n v="7000"/>
    <s v="Sleep Apnea"/>
    <x v="2"/>
    <x v="3"/>
    <x v="3"/>
    <x v="2"/>
    <x v="1"/>
    <x v="3"/>
    <x v="3"/>
  </r>
  <r>
    <n v="358"/>
    <x v="1"/>
    <n v="58"/>
    <x v="4"/>
    <n v="8"/>
    <n v="9"/>
    <n v="75"/>
    <n v="3"/>
    <s v="Overweight"/>
    <x v="22"/>
    <n v="68"/>
    <n v="7000"/>
    <s v="Sleep Apnea"/>
    <x v="2"/>
    <x v="3"/>
    <x v="3"/>
    <x v="2"/>
    <x v="1"/>
    <x v="3"/>
    <x v="3"/>
  </r>
  <r>
    <n v="359"/>
    <x v="1"/>
    <n v="59"/>
    <x v="4"/>
    <n v="8"/>
    <n v="9"/>
    <n v="75"/>
    <n v="3"/>
    <s v="Overweight"/>
    <x v="22"/>
    <n v="68"/>
    <n v="7000"/>
    <s v="None"/>
    <x v="2"/>
    <x v="3"/>
    <x v="3"/>
    <x v="2"/>
    <x v="1"/>
    <x v="3"/>
    <x v="3"/>
  </r>
  <r>
    <n v="360"/>
    <x v="1"/>
    <n v="59"/>
    <x v="4"/>
    <n v="8.1"/>
    <n v="9"/>
    <n v="75"/>
    <n v="3"/>
    <s v="Overweight"/>
    <x v="22"/>
    <n v="68"/>
    <n v="7000"/>
    <s v="None"/>
    <x v="2"/>
    <x v="3"/>
    <x v="3"/>
    <x v="2"/>
    <x v="1"/>
    <x v="3"/>
    <x v="3"/>
  </r>
  <r>
    <n v="361"/>
    <x v="1"/>
    <n v="59"/>
    <x v="4"/>
    <n v="8.1999999999999993"/>
    <n v="9"/>
    <n v="75"/>
    <n v="3"/>
    <s v="Overweight"/>
    <x v="22"/>
    <n v="68"/>
    <n v="7000"/>
    <s v="Sleep Apnea"/>
    <x v="2"/>
    <x v="3"/>
    <x v="3"/>
    <x v="2"/>
    <x v="1"/>
    <x v="3"/>
    <x v="3"/>
  </r>
  <r>
    <n v="362"/>
    <x v="1"/>
    <n v="59"/>
    <x v="4"/>
    <n v="8.1999999999999993"/>
    <n v="9"/>
    <n v="75"/>
    <n v="3"/>
    <s v="Overweight"/>
    <x v="22"/>
    <n v="68"/>
    <n v="7000"/>
    <s v="Sleep Apnea"/>
    <x v="2"/>
    <x v="3"/>
    <x v="3"/>
    <x v="2"/>
    <x v="1"/>
    <x v="3"/>
    <x v="3"/>
  </r>
  <r>
    <n v="363"/>
    <x v="1"/>
    <n v="59"/>
    <x v="4"/>
    <n v="8.1999999999999993"/>
    <n v="9"/>
    <n v="75"/>
    <n v="3"/>
    <s v="Overweight"/>
    <x v="22"/>
    <n v="68"/>
    <n v="7000"/>
    <s v="Sleep Apnea"/>
    <x v="2"/>
    <x v="3"/>
    <x v="3"/>
    <x v="2"/>
    <x v="1"/>
    <x v="3"/>
    <x v="3"/>
  </r>
  <r>
    <n v="364"/>
    <x v="1"/>
    <n v="59"/>
    <x v="4"/>
    <n v="8.1999999999999993"/>
    <n v="9"/>
    <n v="75"/>
    <n v="3"/>
    <s v="Overweight"/>
    <x v="22"/>
    <n v="68"/>
    <n v="7000"/>
    <s v="Sleep Apnea"/>
    <x v="2"/>
    <x v="3"/>
    <x v="3"/>
    <x v="2"/>
    <x v="1"/>
    <x v="3"/>
    <x v="3"/>
  </r>
  <r>
    <n v="365"/>
    <x v="1"/>
    <n v="59"/>
    <x v="4"/>
    <n v="8"/>
    <n v="9"/>
    <n v="75"/>
    <n v="3"/>
    <s v="Overweight"/>
    <x v="22"/>
    <n v="68"/>
    <n v="7000"/>
    <s v="Sleep Apnea"/>
    <x v="2"/>
    <x v="3"/>
    <x v="3"/>
    <x v="2"/>
    <x v="1"/>
    <x v="3"/>
    <x v="3"/>
  </r>
  <r>
    <n v="366"/>
    <x v="1"/>
    <n v="59"/>
    <x v="4"/>
    <n v="8"/>
    <n v="9"/>
    <n v="75"/>
    <n v="3"/>
    <s v="Overweight"/>
    <x v="22"/>
    <n v="68"/>
    <n v="7000"/>
    <s v="Sleep Apnea"/>
    <x v="2"/>
    <x v="3"/>
    <x v="3"/>
    <x v="2"/>
    <x v="1"/>
    <x v="3"/>
    <x v="3"/>
  </r>
  <r>
    <n v="367"/>
    <x v="1"/>
    <n v="59"/>
    <x v="4"/>
    <n v="8.1"/>
    <n v="9"/>
    <n v="75"/>
    <n v="3"/>
    <s v="Overweight"/>
    <x v="22"/>
    <n v="68"/>
    <n v="7000"/>
    <s v="Sleep Apnea"/>
    <x v="2"/>
    <x v="3"/>
    <x v="3"/>
    <x v="2"/>
    <x v="1"/>
    <x v="3"/>
    <x v="3"/>
  </r>
  <r>
    <n v="368"/>
    <x v="1"/>
    <n v="59"/>
    <x v="4"/>
    <n v="8"/>
    <n v="9"/>
    <n v="75"/>
    <n v="3"/>
    <s v="Overweight"/>
    <x v="22"/>
    <n v="68"/>
    <n v="7000"/>
    <s v="Sleep Apnea"/>
    <x v="2"/>
    <x v="3"/>
    <x v="3"/>
    <x v="2"/>
    <x v="1"/>
    <x v="3"/>
    <x v="3"/>
  </r>
  <r>
    <n v="369"/>
    <x v="1"/>
    <n v="59"/>
    <x v="4"/>
    <n v="8.1"/>
    <n v="9"/>
    <n v="75"/>
    <n v="3"/>
    <s v="Overweight"/>
    <x v="22"/>
    <n v="68"/>
    <n v="7000"/>
    <s v="Sleep Apnea"/>
    <x v="2"/>
    <x v="3"/>
    <x v="3"/>
    <x v="2"/>
    <x v="1"/>
    <x v="3"/>
    <x v="3"/>
  </r>
  <r>
    <n v="370"/>
    <x v="1"/>
    <n v="59"/>
    <x v="4"/>
    <n v="8.1"/>
    <n v="9"/>
    <n v="75"/>
    <n v="3"/>
    <s v="Overweight"/>
    <x v="22"/>
    <n v="68"/>
    <n v="7000"/>
    <s v="Sleep Apnea"/>
    <x v="2"/>
    <x v="3"/>
    <x v="3"/>
    <x v="2"/>
    <x v="1"/>
    <x v="3"/>
    <x v="3"/>
  </r>
  <r>
    <n v="371"/>
    <x v="1"/>
    <n v="59"/>
    <x v="4"/>
    <n v="8"/>
    <n v="9"/>
    <n v="75"/>
    <n v="3"/>
    <s v="Overweight"/>
    <x v="22"/>
    <n v="68"/>
    <n v="7000"/>
    <s v="Sleep Apnea"/>
    <x v="2"/>
    <x v="3"/>
    <x v="3"/>
    <x v="2"/>
    <x v="1"/>
    <x v="3"/>
    <x v="3"/>
  </r>
  <r>
    <n v="372"/>
    <x v="1"/>
    <n v="59"/>
    <x v="4"/>
    <n v="8.1"/>
    <n v="9"/>
    <n v="75"/>
    <n v="3"/>
    <s v="Overweight"/>
    <x v="22"/>
    <n v="68"/>
    <n v="7000"/>
    <s v="Sleep Apnea"/>
    <x v="2"/>
    <x v="3"/>
    <x v="3"/>
    <x v="2"/>
    <x v="1"/>
    <x v="3"/>
    <x v="3"/>
  </r>
  <r>
    <n v="373"/>
    <x v="1"/>
    <n v="59"/>
    <x v="4"/>
    <n v="8.1"/>
    <n v="9"/>
    <n v="75"/>
    <n v="3"/>
    <s v="Overweight"/>
    <x v="22"/>
    <n v="68"/>
    <n v="7000"/>
    <s v="Sleep Apnea"/>
    <x v="2"/>
    <x v="3"/>
    <x v="3"/>
    <x v="2"/>
    <x v="1"/>
    <x v="3"/>
    <x v="3"/>
  </r>
  <r>
    <n v="374"/>
    <x v="1"/>
    <n v="59"/>
    <x v="4"/>
    <n v="8.1"/>
    <n v="9"/>
    <n v="75"/>
    <n v="3"/>
    <s v="Overweight"/>
    <x v="22"/>
    <n v="68"/>
    <n v="7000"/>
    <s v="Sleep Apnea"/>
    <x v="2"/>
    <x v="3"/>
    <x v="3"/>
    <x v="2"/>
    <x v="1"/>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AA7161-7407-488A-B72B-9E0DBF0295DD}"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9:B81" firstHeaderRow="1" firstDataRow="1" firstDataCol="1"/>
  <pivotFields count="20">
    <pivotField showAll="0"/>
    <pivotField showAll="0"/>
    <pivotField showAll="0"/>
    <pivotField axis="axisRow" showAll="0">
      <items count="12">
        <item x="6"/>
        <item x="1"/>
        <item x="5"/>
        <item x="8"/>
        <item x="10"/>
        <item x="4"/>
        <item x="2"/>
        <item x="9"/>
        <item x="7"/>
        <item x="0"/>
        <item x="3"/>
        <item t="default"/>
      </items>
    </pivotField>
    <pivotField showAll="0"/>
    <pivotField showAll="0"/>
    <pivotField dataField="1" showAll="0"/>
    <pivotField showAll="0"/>
    <pivotField showAll="0"/>
    <pivotField showAll="0"/>
    <pivotField showAll="0"/>
    <pivotField showAll="0"/>
    <pivotField showAll="0"/>
    <pivotField showAll="0">
      <items count="4">
        <item x="1"/>
        <item x="2"/>
        <item x="0"/>
        <item t="default"/>
      </items>
    </pivotField>
    <pivotField showAll="0">
      <items count="5">
        <item x="2"/>
        <item x="1"/>
        <item x="0"/>
        <item x="3"/>
        <item t="default"/>
      </items>
    </pivotField>
    <pivotField showAll="0">
      <items count="6">
        <item x="3"/>
        <item x="2"/>
        <item x="1"/>
        <item x="0"/>
        <item x="4"/>
        <item t="default"/>
      </items>
    </pivotField>
    <pivotField showAll="0">
      <items count="4">
        <item x="1"/>
        <item x="2"/>
        <item x="0"/>
        <item t="default"/>
      </items>
    </pivotField>
    <pivotField showAll="0">
      <items count="5">
        <item x="0"/>
        <item x="2"/>
        <item x="1"/>
        <item x="3"/>
        <item t="default"/>
      </items>
    </pivotField>
    <pivotField showAll="0">
      <items count="5">
        <item x="2"/>
        <item x="0"/>
        <item x="3"/>
        <item x="1"/>
        <item t="default"/>
      </items>
    </pivotField>
    <pivotField showAll="0">
      <items count="5">
        <item x="3"/>
        <item x="1"/>
        <item x="0"/>
        <item x="2"/>
        <item t="default"/>
      </items>
    </pivotField>
  </pivotFields>
  <rowFields count="1">
    <field x="3"/>
  </rowFields>
  <rowItems count="12">
    <i>
      <x/>
    </i>
    <i>
      <x v="1"/>
    </i>
    <i>
      <x v="2"/>
    </i>
    <i>
      <x v="3"/>
    </i>
    <i>
      <x v="4"/>
    </i>
    <i>
      <x v="5"/>
    </i>
    <i>
      <x v="6"/>
    </i>
    <i>
      <x v="7"/>
    </i>
    <i>
      <x v="8"/>
    </i>
    <i>
      <x v="9"/>
    </i>
    <i>
      <x v="10"/>
    </i>
    <i t="grand">
      <x/>
    </i>
  </rowItems>
  <colItems count="1">
    <i/>
  </colItems>
  <dataFields count="1">
    <dataField name="Average of Physical Activity Level" fld="6" subtotal="average" baseField="3" baseItem="0" numFmtId="2"/>
  </dataFields>
  <formats count="1">
    <format dxfId="1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E7FE3F-14CC-469A-94B7-18FA732EBC12}"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2:B56" firstHeaderRow="1" firstDataRow="1" firstDataCol="1"/>
  <pivotFields count="2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1"/>
        <item x="2"/>
        <item x="0"/>
        <item t="default"/>
      </items>
    </pivotField>
    <pivotField showAll="0">
      <items count="5">
        <item x="2"/>
        <item x="1"/>
        <item x="0"/>
        <item x="3"/>
        <item t="default"/>
      </items>
    </pivotField>
    <pivotField showAll="0">
      <items count="6">
        <item x="3"/>
        <item x="2"/>
        <item x="1"/>
        <item x="0"/>
        <item x="4"/>
        <item t="default"/>
      </items>
    </pivotField>
    <pivotField showAll="0">
      <items count="4">
        <item x="1"/>
        <item x="2"/>
        <item x="0"/>
        <item t="default"/>
      </items>
    </pivotField>
    <pivotField showAll="0">
      <items count="5">
        <item x="0"/>
        <item x="2"/>
        <item x="1"/>
        <item x="3"/>
        <item t="default"/>
      </items>
    </pivotField>
    <pivotField showAll="0">
      <items count="5">
        <item x="2"/>
        <item x="0"/>
        <item x="3"/>
        <item x="1"/>
        <item t="default"/>
      </items>
    </pivotField>
    <pivotField showAll="0">
      <items count="5">
        <item x="3"/>
        <item x="1"/>
        <item x="0"/>
        <item x="2"/>
        <item t="default"/>
      </items>
    </pivotField>
  </pivotFields>
  <rowFields count="1">
    <field x="13"/>
  </rowFields>
  <rowItems count="4">
    <i>
      <x/>
    </i>
    <i>
      <x v="1"/>
    </i>
    <i>
      <x v="2"/>
    </i>
    <i t="grand">
      <x/>
    </i>
  </rowItems>
  <colItems count="1">
    <i/>
  </colItems>
  <dataFields count="1">
    <dataField name="Average of Daily Steps" fld="11" subtotal="average" baseField="1" baseItem="0"/>
  </dataFields>
  <formats count="2">
    <format dxfId="14">
      <pivotArea grandRow="1" outline="0" collapsedLevelsAreSubtotals="1" fieldPosition="0"/>
    </format>
    <format dxfId="12">
      <pivotArea collapsedLevelsAreSubtotals="1" fieldPosition="0">
        <references count="1">
          <reference field="13" count="0"/>
        </references>
      </pivotArea>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CD389C-DFEB-4F22-865E-6FA25688DFA2}"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B42" firstHeaderRow="1" firstDataRow="1" firstDataCol="1"/>
  <pivotFields count="2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items count="5">
        <item x="2"/>
        <item x="1"/>
        <item x="0"/>
        <item x="3"/>
        <item t="default"/>
      </items>
    </pivotField>
    <pivotField showAll="0">
      <items count="6">
        <item x="3"/>
        <item x="2"/>
        <item x="1"/>
        <item x="0"/>
        <item x="4"/>
        <item t="default"/>
      </items>
    </pivotField>
    <pivotField showAll="0">
      <items count="4">
        <item x="1"/>
        <item x="2"/>
        <item x="0"/>
        <item t="default"/>
      </items>
    </pivotField>
    <pivotField showAll="0">
      <items count="5">
        <item x="0"/>
        <item x="2"/>
        <item x="1"/>
        <item x="3"/>
        <item t="default"/>
      </items>
    </pivotField>
    <pivotField showAll="0">
      <items count="5">
        <item x="2"/>
        <item x="0"/>
        <item x="3"/>
        <item x="1"/>
        <item t="default"/>
      </items>
    </pivotField>
    <pivotField showAll="0">
      <items count="5">
        <item x="3"/>
        <item x="1"/>
        <item x="0"/>
        <item x="2"/>
        <item t="default"/>
      </items>
    </pivotField>
  </pivotFields>
  <rowFields count="1">
    <field x="13"/>
  </rowFields>
  <rowItems count="4">
    <i>
      <x/>
    </i>
    <i>
      <x v="1"/>
    </i>
    <i>
      <x v="2"/>
    </i>
    <i t="grand">
      <x/>
    </i>
  </rowItems>
  <colItems count="1">
    <i/>
  </colItems>
  <dataFields count="1">
    <dataField name="Count of Person ID" fld="0" subtotal="count" baseField="13"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B92304-01EF-4C18-B701-94F07EABA0B9}"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B32" firstHeaderRow="1" firstDataRow="1" firstDataCol="1"/>
  <pivotFields count="20">
    <pivotField dataField="1" showAll="0"/>
    <pivotField showAll="0">
      <items count="3">
        <item x="1"/>
        <item x="0"/>
        <item t="default"/>
      </items>
    </pivotField>
    <pivotField showAll="0"/>
    <pivotField axis="axisRow" showAll="0">
      <items count="12">
        <item x="6"/>
        <item x="1"/>
        <item x="5"/>
        <item x="8"/>
        <item x="10"/>
        <item x="4"/>
        <item x="2"/>
        <item x="9"/>
        <item x="7"/>
        <item x="0"/>
        <item x="3"/>
        <item t="default"/>
      </items>
    </pivotField>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items count="5">
        <item x="2"/>
        <item x="1"/>
        <item x="0"/>
        <item x="3"/>
        <item t="default"/>
      </items>
    </pivotField>
    <pivotField showAll="0">
      <items count="6">
        <item x="3"/>
        <item x="2"/>
        <item x="1"/>
        <item x="0"/>
        <item x="4"/>
        <item t="default"/>
      </items>
    </pivotField>
    <pivotField showAll="0">
      <items count="4">
        <item x="1"/>
        <item x="2"/>
        <item x="0"/>
        <item t="default"/>
      </items>
    </pivotField>
    <pivotField showAll="0">
      <items count="5">
        <item x="0"/>
        <item x="2"/>
        <item x="1"/>
        <item x="3"/>
        <item t="default"/>
      </items>
    </pivotField>
    <pivotField showAll="0">
      <items count="5">
        <item x="2"/>
        <item x="0"/>
        <item x="3"/>
        <item x="1"/>
        <item t="default"/>
      </items>
    </pivotField>
    <pivotField showAll="0">
      <items count="5">
        <item x="3"/>
        <item x="1"/>
        <item x="0"/>
        <item x="2"/>
        <item t="default"/>
      </items>
    </pivotField>
  </pivotFields>
  <rowFields count="1">
    <field x="3"/>
  </rowFields>
  <rowItems count="12">
    <i>
      <x/>
    </i>
    <i>
      <x v="1"/>
    </i>
    <i>
      <x v="2"/>
    </i>
    <i>
      <x v="3"/>
    </i>
    <i>
      <x v="4"/>
    </i>
    <i>
      <x v="5"/>
    </i>
    <i>
      <x v="6"/>
    </i>
    <i>
      <x v="7"/>
    </i>
    <i>
      <x v="8"/>
    </i>
    <i>
      <x v="9"/>
    </i>
    <i>
      <x v="10"/>
    </i>
    <i t="grand">
      <x/>
    </i>
  </rowItems>
  <colItems count="1">
    <i/>
  </colItems>
  <dataFields count="1">
    <dataField name="Count of Person ID" fld="0" subtotal="count" baseField="3"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BFB0BA-7C6B-4E7A-9BEC-C2642C17110D}"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20">
    <pivotField dataField="1" showAll="0"/>
    <pivotField axis="axisRow" showAll="0">
      <items count="3">
        <item x="1"/>
        <item x="0"/>
        <item t="default"/>
      </items>
    </pivotField>
    <pivotField showAll="0"/>
    <pivotField showAll="0"/>
    <pivotField showAll="0"/>
    <pivotField showAll="0"/>
    <pivotField showAll="0"/>
    <pivotField showAll="0"/>
    <pivotField showAll="0"/>
    <pivotField showAll="0">
      <items count="26">
        <item x="11"/>
        <item x="15"/>
        <item x="6"/>
        <item x="24"/>
        <item x="7"/>
        <item x="16"/>
        <item x="3"/>
        <item x="17"/>
        <item x="20"/>
        <item x="1"/>
        <item x="18"/>
        <item x="0"/>
        <item x="10"/>
        <item x="8"/>
        <item x="13"/>
        <item x="14"/>
        <item x="5"/>
        <item x="9"/>
        <item x="4"/>
        <item x="12"/>
        <item x="19"/>
        <item x="23"/>
        <item x="2"/>
        <item x="22"/>
        <item x="21"/>
        <item t="default"/>
      </items>
    </pivotField>
    <pivotField showAll="0"/>
    <pivotField showAll="0"/>
    <pivotField showAll="0"/>
    <pivotField showAll="0">
      <items count="4">
        <item x="1"/>
        <item x="2"/>
        <item x="0"/>
        <item t="default"/>
      </items>
    </pivotField>
    <pivotField showAll="0">
      <items count="5">
        <item x="2"/>
        <item x="1"/>
        <item x="0"/>
        <item x="3"/>
        <item t="default"/>
      </items>
    </pivotField>
    <pivotField showAll="0">
      <items count="6">
        <item x="3"/>
        <item x="2"/>
        <item x="1"/>
        <item x="0"/>
        <item x="4"/>
        <item t="default"/>
      </items>
    </pivotField>
    <pivotField showAll="0">
      <items count="4">
        <item x="1"/>
        <item x="2"/>
        <item x="0"/>
        <item t="default"/>
      </items>
    </pivotField>
    <pivotField showAll="0">
      <items count="5">
        <item x="0"/>
        <item x="2"/>
        <item x="1"/>
        <item x="3"/>
        <item t="default"/>
      </items>
    </pivotField>
    <pivotField showAll="0">
      <items count="5">
        <item x="2"/>
        <item x="0"/>
        <item x="3"/>
        <item x="1"/>
        <item t="default"/>
      </items>
    </pivotField>
    <pivotField showAll="0">
      <items count="5">
        <item x="3"/>
        <item x="1"/>
        <item x="0"/>
        <item x="2"/>
        <item t="default"/>
      </items>
    </pivotField>
  </pivotFields>
  <rowFields count="1">
    <field x="1"/>
  </rowFields>
  <rowItems count="3">
    <i>
      <x/>
    </i>
    <i>
      <x v="1"/>
    </i>
    <i t="grand">
      <x/>
    </i>
  </rowItems>
  <colItems count="1">
    <i/>
  </colItems>
  <dataFields count="1">
    <dataField name="Count of Person ID" fld="0" subtotal="count" baseField="1" baseItem="0"/>
  </dataFields>
  <chartFormats count="4">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7571E0C-9303-4E6A-92D4-CA95D13B1C6D}" sourceName="Age_Group">
  <pivotTables>
    <pivotTable tabId="3" name="PivotTable1"/>
    <pivotTable tabId="3" name="PivotTable2"/>
    <pivotTable tabId="3" name="PivotTable3"/>
    <pivotTable tabId="3" name="PivotTable4"/>
    <pivotTable tabId="3" name="PivotTable5"/>
  </pivotTables>
  <data>
    <tabular pivotCacheId="1927817358">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lity_of_Sleep_Range" xr10:uid="{CFB7124A-4A84-452A-A020-2689AB1E1FC8}" sourceName="Quality_of_Sleep_Range">
  <pivotTables>
    <pivotTable tabId="3" name="PivotTable1"/>
    <pivotTable tabId="3" name="PivotTable2"/>
    <pivotTable tabId="3" name="PivotTable3"/>
    <pivotTable tabId="3" name="PivotTable4"/>
    <pivotTable tabId="3" name="PivotTable5"/>
  </pivotTables>
  <data>
    <tabular pivotCacheId="1927817358">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ysical_Activity_Level_Range" xr10:uid="{F89A3ED4-3647-4FEA-85EE-BB504E5B5B9F}" sourceName="Physical_Activity_Level_Range">
  <pivotTables>
    <pivotTable tabId="3" name="PivotTable1"/>
    <pivotTable tabId="3" name="PivotTable2"/>
    <pivotTable tabId="3" name="PivotTable3"/>
    <pivotTable tabId="3" name="PivotTable4"/>
    <pivotTable tabId="3" name="PivotTable5"/>
  </pivotTables>
  <data>
    <tabular pivotCacheId="1927817358">
      <items count="5">
        <i x="3" s="1"/>
        <i x="2" s="1"/>
        <i x="1"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ss_Level_Range" xr10:uid="{94B99B14-D06F-476D-8168-B71E502A4F48}" sourceName="Stress_Level_Range">
  <pivotTables>
    <pivotTable tabId="3" name="PivotTable1"/>
    <pivotTable tabId="3" name="PivotTable2"/>
    <pivotTable tabId="3" name="PivotTable3"/>
    <pivotTable tabId="3" name="PivotTable4"/>
    <pivotTable tabId="3" name="PivotTable5"/>
  </pivotTables>
  <data>
    <tabular pivotCacheId="1927817358">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od_Pressure_Range" xr10:uid="{8C336C6D-CF48-4688-A93D-56046C91854B}" sourceName="Blood_Pressure_Range">
  <pivotTables>
    <pivotTable tabId="3" name="PivotTable1"/>
    <pivotTable tabId="3" name="PivotTable2"/>
    <pivotTable tabId="3" name="PivotTable3"/>
    <pivotTable tabId="3" name="PivotTable4"/>
    <pivotTable tabId="3" name="PivotTable5"/>
  </pivotTables>
  <data>
    <tabular pivotCacheId="1927817358">
      <items count="4">
        <i x="0" s="1"/>
        <i x="2"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rt_Rate_Range" xr10:uid="{FA3E1DBE-BA07-439B-A1F9-AA20853C23E8}" sourceName="Heart_Rate_Range">
  <pivotTables>
    <pivotTable tabId="3" name="PivotTable1"/>
    <pivotTable tabId="3" name="PivotTable2"/>
    <pivotTable tabId="3" name="PivotTable3"/>
    <pivotTable tabId="3" name="PivotTable4"/>
    <pivotTable tabId="3" name="PivotTable5"/>
  </pivotTables>
  <data>
    <tabular pivotCacheId="1927817358">
      <items count="4">
        <i x="2" s="1"/>
        <i x="0" s="1"/>
        <i x="3"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ily_Steps_Range" xr10:uid="{E2EEC49E-7ADC-4F00-927D-F6E24C252478}" sourceName="Daily_Steps_Range">
  <pivotTables>
    <pivotTable tabId="3" name="PivotTable1"/>
    <pivotTable tabId="3" name="PivotTable2"/>
    <pivotTable tabId="3" name="PivotTable3"/>
    <pivotTable tabId="3" name="PivotTable4"/>
    <pivotTable tabId="3" name="PivotTable5"/>
  </pivotTables>
  <data>
    <tabular pivotCacheId="1927817358">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04184FF1-595C-42E5-8162-317445503649}" cache="Slicer_Age_Group" caption="Age_Group" style="SlicerStyleLight5" rowHeight="241300"/>
  <slicer name="Quality_of_Sleep_Range" xr10:uid="{63C7EFD1-695C-4359-813A-D5ACFEFF9231}" cache="Slicer_Quality_of_Sleep_Range" caption="Quality_of_Sleep_Range" rowHeight="241300"/>
  <slicer name="Physical_Activity_Level_Range" xr10:uid="{F96A67BD-2CDA-4028-9288-67B59AF3DE61}" cache="Slicer_Physical_Activity_Level_Range" caption="Physical_Activity_Level_Range" rowHeight="241300"/>
  <slicer name="Stress_Level_Range" xr10:uid="{90420B7A-4C0F-460C-841A-1CD1CD08398F}" cache="Slicer_Stress_Level_Range" caption="Stress_Level_Range" rowHeight="241300"/>
  <slicer name="Blood_Pressure_Range" xr10:uid="{42E76B34-50F9-4819-863E-A292D828678D}" cache="Slicer_Blood_Pressure_Range" caption="Blood_Pressure_Range" rowHeight="241300"/>
  <slicer name="Heart_Rate_Range" xr10:uid="{3E6018A4-21AF-4CF6-9149-8187C4CB30CE}" cache="Slicer_Heart_Rate_Range" caption="Heart_Rate_Range" rowHeight="241300"/>
  <slicer name="Daily_Steps_Range" xr10:uid="{F09E2C98-8494-4FF5-B437-CD9D78E2A903}" cache="Slicer_Daily_Steps_Range" caption="Daily_Steps_Rang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1" xr10:uid="{BC8128AC-E13A-4C74-8027-7AAE31AA1D3F}" cache="Slicer_Age_Group" caption="Age_Group" style="SlicerStyleLight2" rowHeight="241300"/>
  <slicer name="Quality_of_Sleep_Range 1" xr10:uid="{33D10ECA-BF17-44B3-AEC2-893885F28624}" cache="Slicer_Quality_of_Sleep_Range" caption="Quality_of_Sleep_Range" style="SlicerStyleLight2" rowHeight="241300"/>
  <slicer name="Physical_Activity_Level_Range 1" xr10:uid="{CF6C2DFB-6468-4B92-A714-AC492364EA61}" cache="Slicer_Physical_Activity_Level_Range" caption="Physical_Activity_Level_Range" style="SlicerStyleLight2" rowHeight="241300"/>
  <slicer name="Stress_Level_Range 1" xr10:uid="{4E1A3935-8564-4A15-8550-1CCC42F60F72}" cache="Slicer_Stress_Level_Range" caption="Stress_Level_Range" style="SlicerStyleLight2" rowHeight="241300"/>
  <slicer name="Blood_Pressure_Range 1" xr10:uid="{8F787932-C3DB-41D2-B9EE-DC2D74E0A8F8}" cache="Slicer_Blood_Pressure_Range" caption="Blood_Pressure_Range" style="SlicerStyleLight2" rowHeight="241300"/>
  <slicer name="Heart_Rate_Range 1" xr10:uid="{1C882A02-B18F-4286-B0D2-B9A59947442D}" cache="Slicer_Heart_Rate_Range" caption="Heart_Rate_Range" style="SlicerStyleLight2" rowHeight="241300"/>
  <slicer name="Daily_Steps_Range 1" xr10:uid="{F4295DBE-942B-44DF-A629-E8C4F54B6269}" cache="Slicer_Daily_Steps_Range" caption="Daily_Steps_Range"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CD422-BBC0-4A85-8D15-C78D52BE06CB}">
  <dimension ref="A1:M375"/>
  <sheetViews>
    <sheetView workbookViewId="0">
      <selection sqref="A1:XFD1048576"/>
    </sheetView>
  </sheetViews>
  <sheetFormatPr defaultRowHeight="15" x14ac:dyDescent="0.25"/>
  <cols>
    <col min="1" max="1" width="11.7109375" bestFit="1" customWidth="1"/>
    <col min="2" max="2" width="9.85546875" bestFit="1" customWidth="1"/>
    <col min="3" max="3" width="6.7109375" bestFit="1" customWidth="1"/>
    <col min="4" max="4" width="19.85546875" bestFit="1" customWidth="1"/>
    <col min="5" max="5" width="16.5703125" bestFit="1" customWidth="1"/>
    <col min="6" max="6" width="17.5703125" bestFit="1" customWidth="1"/>
    <col min="7" max="7" width="23" bestFit="1" customWidth="1"/>
    <col min="8" max="8" width="13.7109375" bestFit="1" customWidth="1"/>
    <col min="9" max="9" width="15" bestFit="1" customWidth="1"/>
    <col min="10" max="10" width="16.7109375" bestFit="1" customWidth="1"/>
    <col min="11" max="11" width="12.5703125" bestFit="1" customWidth="1"/>
    <col min="12" max="12" width="13" bestFit="1" customWidth="1"/>
    <col min="13" max="13" width="16.42578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v>
      </c>
      <c r="B2" t="s">
        <v>13</v>
      </c>
      <c r="C2">
        <v>27</v>
      </c>
      <c r="D2" t="s">
        <v>14</v>
      </c>
      <c r="E2">
        <v>6.1</v>
      </c>
      <c r="F2">
        <v>6</v>
      </c>
      <c r="G2">
        <v>42</v>
      </c>
      <c r="H2">
        <v>6</v>
      </c>
      <c r="I2" t="s">
        <v>15</v>
      </c>
      <c r="J2" t="s">
        <v>16</v>
      </c>
      <c r="K2">
        <v>77</v>
      </c>
      <c r="L2">
        <v>4200</v>
      </c>
      <c r="M2" t="s">
        <v>17</v>
      </c>
    </row>
    <row r="3" spans="1:13" x14ac:dyDescent="0.25">
      <c r="A3">
        <v>2</v>
      </c>
      <c r="B3" t="s">
        <v>13</v>
      </c>
      <c r="C3">
        <v>28</v>
      </c>
      <c r="D3" t="s">
        <v>18</v>
      </c>
      <c r="E3">
        <v>6.2</v>
      </c>
      <c r="F3">
        <v>6</v>
      </c>
      <c r="G3">
        <v>60</v>
      </c>
      <c r="H3">
        <v>8</v>
      </c>
      <c r="I3" t="s">
        <v>19</v>
      </c>
      <c r="J3" t="s">
        <v>20</v>
      </c>
      <c r="K3">
        <v>75</v>
      </c>
      <c r="L3">
        <v>10000</v>
      </c>
      <c r="M3" t="s">
        <v>17</v>
      </c>
    </row>
    <row r="4" spans="1:13" x14ac:dyDescent="0.25">
      <c r="A4">
        <v>3</v>
      </c>
      <c r="B4" t="s">
        <v>13</v>
      </c>
      <c r="C4">
        <v>28</v>
      </c>
      <c r="D4" t="s">
        <v>18</v>
      </c>
      <c r="E4">
        <v>6.2</v>
      </c>
      <c r="F4">
        <v>6</v>
      </c>
      <c r="G4">
        <v>60</v>
      </c>
      <c r="H4">
        <v>8</v>
      </c>
      <c r="I4" t="s">
        <v>19</v>
      </c>
      <c r="J4" t="s">
        <v>20</v>
      </c>
      <c r="K4">
        <v>75</v>
      </c>
      <c r="L4">
        <v>10000</v>
      </c>
      <c r="M4" t="s">
        <v>17</v>
      </c>
    </row>
    <row r="5" spans="1:13" x14ac:dyDescent="0.25">
      <c r="A5">
        <v>4</v>
      </c>
      <c r="B5" t="s">
        <v>13</v>
      </c>
      <c r="C5">
        <v>28</v>
      </c>
      <c r="D5" t="s">
        <v>21</v>
      </c>
      <c r="E5">
        <v>5.9</v>
      </c>
      <c r="F5">
        <v>4</v>
      </c>
      <c r="G5">
        <v>30</v>
      </c>
      <c r="H5">
        <v>8</v>
      </c>
      <c r="I5" t="s">
        <v>22</v>
      </c>
      <c r="J5" t="s">
        <v>23</v>
      </c>
      <c r="K5">
        <v>85</v>
      </c>
      <c r="L5">
        <v>3000</v>
      </c>
      <c r="M5" t="s">
        <v>24</v>
      </c>
    </row>
    <row r="6" spans="1:13" x14ac:dyDescent="0.25">
      <c r="A6">
        <v>5</v>
      </c>
      <c r="B6" t="s">
        <v>13</v>
      </c>
      <c r="C6">
        <v>28</v>
      </c>
      <c r="D6" t="s">
        <v>21</v>
      </c>
      <c r="E6">
        <v>5.9</v>
      </c>
      <c r="F6">
        <v>4</v>
      </c>
      <c r="G6">
        <v>30</v>
      </c>
      <c r="H6">
        <v>8</v>
      </c>
      <c r="I6" t="s">
        <v>22</v>
      </c>
      <c r="J6" t="s">
        <v>23</v>
      </c>
      <c r="K6">
        <v>85</v>
      </c>
      <c r="L6">
        <v>3000</v>
      </c>
      <c r="M6" t="s">
        <v>24</v>
      </c>
    </row>
    <row r="7" spans="1:13" x14ac:dyDescent="0.25">
      <c r="A7">
        <v>6</v>
      </c>
      <c r="B7" t="s">
        <v>13</v>
      </c>
      <c r="C7">
        <v>28</v>
      </c>
      <c r="D7" t="s">
        <v>14</v>
      </c>
      <c r="E7">
        <v>5.9</v>
      </c>
      <c r="F7">
        <v>4</v>
      </c>
      <c r="G7">
        <v>30</v>
      </c>
      <c r="H7">
        <v>8</v>
      </c>
      <c r="I7" t="s">
        <v>22</v>
      </c>
      <c r="J7" t="s">
        <v>23</v>
      </c>
      <c r="K7">
        <v>85</v>
      </c>
      <c r="L7">
        <v>3000</v>
      </c>
      <c r="M7" t="s">
        <v>25</v>
      </c>
    </row>
    <row r="8" spans="1:13" x14ac:dyDescent="0.25">
      <c r="A8">
        <v>7</v>
      </c>
      <c r="B8" t="s">
        <v>13</v>
      </c>
      <c r="C8">
        <v>29</v>
      </c>
      <c r="D8" t="s">
        <v>26</v>
      </c>
      <c r="E8">
        <v>6.3</v>
      </c>
      <c r="F8">
        <v>6</v>
      </c>
      <c r="G8">
        <v>40</v>
      </c>
      <c r="H8">
        <v>7</v>
      </c>
      <c r="I8" t="s">
        <v>22</v>
      </c>
      <c r="J8" t="s">
        <v>23</v>
      </c>
      <c r="K8">
        <v>82</v>
      </c>
      <c r="L8">
        <v>3500</v>
      </c>
      <c r="M8" t="s">
        <v>25</v>
      </c>
    </row>
    <row r="9" spans="1:13" x14ac:dyDescent="0.25">
      <c r="A9">
        <v>8</v>
      </c>
      <c r="B9" t="s">
        <v>13</v>
      </c>
      <c r="C9">
        <v>29</v>
      </c>
      <c r="D9" t="s">
        <v>18</v>
      </c>
      <c r="E9">
        <v>7.8</v>
      </c>
      <c r="F9">
        <v>7</v>
      </c>
      <c r="G9">
        <v>75</v>
      </c>
      <c r="H9">
        <v>6</v>
      </c>
      <c r="I9" t="s">
        <v>19</v>
      </c>
      <c r="J9" t="s">
        <v>27</v>
      </c>
      <c r="K9">
        <v>70</v>
      </c>
      <c r="L9">
        <v>8000</v>
      </c>
      <c r="M9" t="s">
        <v>17</v>
      </c>
    </row>
    <row r="10" spans="1:13" x14ac:dyDescent="0.25">
      <c r="A10">
        <v>9</v>
      </c>
      <c r="B10" t="s">
        <v>13</v>
      </c>
      <c r="C10">
        <v>29</v>
      </c>
      <c r="D10" t="s">
        <v>18</v>
      </c>
      <c r="E10">
        <v>7.8</v>
      </c>
      <c r="F10">
        <v>7</v>
      </c>
      <c r="G10">
        <v>75</v>
      </c>
      <c r="H10">
        <v>6</v>
      </c>
      <c r="I10" t="s">
        <v>19</v>
      </c>
      <c r="J10" t="s">
        <v>27</v>
      </c>
      <c r="K10">
        <v>70</v>
      </c>
      <c r="L10">
        <v>8000</v>
      </c>
      <c r="M10" t="s">
        <v>17</v>
      </c>
    </row>
    <row r="11" spans="1:13" x14ac:dyDescent="0.25">
      <c r="A11">
        <v>10</v>
      </c>
      <c r="B11" t="s">
        <v>13</v>
      </c>
      <c r="C11">
        <v>29</v>
      </c>
      <c r="D11" t="s">
        <v>18</v>
      </c>
      <c r="E11">
        <v>7.8</v>
      </c>
      <c r="F11">
        <v>7</v>
      </c>
      <c r="G11">
        <v>75</v>
      </c>
      <c r="H11">
        <v>6</v>
      </c>
      <c r="I11" t="s">
        <v>19</v>
      </c>
      <c r="J11" t="s">
        <v>27</v>
      </c>
      <c r="K11">
        <v>70</v>
      </c>
      <c r="L11">
        <v>8000</v>
      </c>
      <c r="M11" t="s">
        <v>17</v>
      </c>
    </row>
    <row r="12" spans="1:13" x14ac:dyDescent="0.25">
      <c r="A12">
        <v>11</v>
      </c>
      <c r="B12" t="s">
        <v>13</v>
      </c>
      <c r="C12">
        <v>29</v>
      </c>
      <c r="D12" t="s">
        <v>18</v>
      </c>
      <c r="E12">
        <v>6.1</v>
      </c>
      <c r="F12">
        <v>6</v>
      </c>
      <c r="G12">
        <v>30</v>
      </c>
      <c r="H12">
        <v>8</v>
      </c>
      <c r="I12" t="s">
        <v>19</v>
      </c>
      <c r="J12" t="s">
        <v>27</v>
      </c>
      <c r="K12">
        <v>70</v>
      </c>
      <c r="L12">
        <v>8000</v>
      </c>
      <c r="M12" t="s">
        <v>17</v>
      </c>
    </row>
    <row r="13" spans="1:13" x14ac:dyDescent="0.25">
      <c r="A13">
        <v>12</v>
      </c>
      <c r="B13" t="s">
        <v>13</v>
      </c>
      <c r="C13">
        <v>29</v>
      </c>
      <c r="D13" t="s">
        <v>18</v>
      </c>
      <c r="E13">
        <v>7.8</v>
      </c>
      <c r="F13">
        <v>7</v>
      </c>
      <c r="G13">
        <v>75</v>
      </c>
      <c r="H13">
        <v>6</v>
      </c>
      <c r="I13" t="s">
        <v>19</v>
      </c>
      <c r="J13" t="s">
        <v>27</v>
      </c>
      <c r="K13">
        <v>70</v>
      </c>
      <c r="L13">
        <v>8000</v>
      </c>
      <c r="M13" t="s">
        <v>17</v>
      </c>
    </row>
    <row r="14" spans="1:13" x14ac:dyDescent="0.25">
      <c r="A14">
        <v>13</v>
      </c>
      <c r="B14" t="s">
        <v>13</v>
      </c>
      <c r="C14">
        <v>29</v>
      </c>
      <c r="D14" t="s">
        <v>18</v>
      </c>
      <c r="E14">
        <v>6.1</v>
      </c>
      <c r="F14">
        <v>6</v>
      </c>
      <c r="G14">
        <v>30</v>
      </c>
      <c r="H14">
        <v>8</v>
      </c>
      <c r="I14" t="s">
        <v>19</v>
      </c>
      <c r="J14" t="s">
        <v>27</v>
      </c>
      <c r="K14">
        <v>70</v>
      </c>
      <c r="L14">
        <v>8000</v>
      </c>
      <c r="M14" t="s">
        <v>17</v>
      </c>
    </row>
    <row r="15" spans="1:13" x14ac:dyDescent="0.25">
      <c r="A15">
        <v>14</v>
      </c>
      <c r="B15" t="s">
        <v>13</v>
      </c>
      <c r="C15">
        <v>29</v>
      </c>
      <c r="D15" t="s">
        <v>18</v>
      </c>
      <c r="E15">
        <v>6</v>
      </c>
      <c r="F15">
        <v>6</v>
      </c>
      <c r="G15">
        <v>30</v>
      </c>
      <c r="H15">
        <v>8</v>
      </c>
      <c r="I15" t="s">
        <v>19</v>
      </c>
      <c r="J15" t="s">
        <v>27</v>
      </c>
      <c r="K15">
        <v>70</v>
      </c>
      <c r="L15">
        <v>8000</v>
      </c>
      <c r="M15" t="s">
        <v>17</v>
      </c>
    </row>
    <row r="16" spans="1:13" x14ac:dyDescent="0.25">
      <c r="A16">
        <v>15</v>
      </c>
      <c r="B16" t="s">
        <v>13</v>
      </c>
      <c r="C16">
        <v>29</v>
      </c>
      <c r="D16" t="s">
        <v>18</v>
      </c>
      <c r="E16">
        <v>6</v>
      </c>
      <c r="F16">
        <v>6</v>
      </c>
      <c r="G16">
        <v>30</v>
      </c>
      <c r="H16">
        <v>8</v>
      </c>
      <c r="I16" t="s">
        <v>19</v>
      </c>
      <c r="J16" t="s">
        <v>27</v>
      </c>
      <c r="K16">
        <v>70</v>
      </c>
      <c r="L16">
        <v>8000</v>
      </c>
      <c r="M16" t="s">
        <v>17</v>
      </c>
    </row>
    <row r="17" spans="1:13" x14ac:dyDescent="0.25">
      <c r="A17">
        <v>16</v>
      </c>
      <c r="B17" t="s">
        <v>13</v>
      </c>
      <c r="C17">
        <v>29</v>
      </c>
      <c r="D17" t="s">
        <v>18</v>
      </c>
      <c r="E17">
        <v>6</v>
      </c>
      <c r="F17">
        <v>6</v>
      </c>
      <c r="G17">
        <v>30</v>
      </c>
      <c r="H17">
        <v>8</v>
      </c>
      <c r="I17" t="s">
        <v>19</v>
      </c>
      <c r="J17" t="s">
        <v>27</v>
      </c>
      <c r="K17">
        <v>70</v>
      </c>
      <c r="L17">
        <v>8000</v>
      </c>
      <c r="M17" t="s">
        <v>17</v>
      </c>
    </row>
    <row r="18" spans="1:13" x14ac:dyDescent="0.25">
      <c r="A18">
        <v>17</v>
      </c>
      <c r="B18" t="s">
        <v>28</v>
      </c>
      <c r="C18">
        <v>29</v>
      </c>
      <c r="D18" t="s">
        <v>29</v>
      </c>
      <c r="E18">
        <v>6.5</v>
      </c>
      <c r="F18">
        <v>5</v>
      </c>
      <c r="G18">
        <v>40</v>
      </c>
      <c r="H18">
        <v>7</v>
      </c>
      <c r="I18" t="s">
        <v>30</v>
      </c>
      <c r="J18" t="s">
        <v>31</v>
      </c>
      <c r="K18">
        <v>80</v>
      </c>
      <c r="L18">
        <v>4000</v>
      </c>
      <c r="M18" t="s">
        <v>24</v>
      </c>
    </row>
    <row r="19" spans="1:13" x14ac:dyDescent="0.25">
      <c r="A19">
        <v>18</v>
      </c>
      <c r="B19" t="s">
        <v>13</v>
      </c>
      <c r="C19">
        <v>29</v>
      </c>
      <c r="D19" t="s">
        <v>18</v>
      </c>
      <c r="E19">
        <v>6</v>
      </c>
      <c r="F19">
        <v>6</v>
      </c>
      <c r="G19">
        <v>30</v>
      </c>
      <c r="H19">
        <v>8</v>
      </c>
      <c r="I19" t="s">
        <v>19</v>
      </c>
      <c r="J19" t="s">
        <v>27</v>
      </c>
      <c r="K19">
        <v>70</v>
      </c>
      <c r="L19">
        <v>8000</v>
      </c>
      <c r="M19" t="s">
        <v>24</v>
      </c>
    </row>
    <row r="20" spans="1:13" x14ac:dyDescent="0.25">
      <c r="A20">
        <v>19</v>
      </c>
      <c r="B20" t="s">
        <v>28</v>
      </c>
      <c r="C20">
        <v>29</v>
      </c>
      <c r="D20" t="s">
        <v>29</v>
      </c>
      <c r="E20">
        <v>6.5</v>
      </c>
      <c r="F20">
        <v>5</v>
      </c>
      <c r="G20">
        <v>40</v>
      </c>
      <c r="H20">
        <v>7</v>
      </c>
      <c r="I20" t="s">
        <v>30</v>
      </c>
      <c r="J20" t="s">
        <v>31</v>
      </c>
      <c r="K20">
        <v>80</v>
      </c>
      <c r="L20">
        <v>4000</v>
      </c>
      <c r="M20" t="s">
        <v>25</v>
      </c>
    </row>
    <row r="21" spans="1:13" x14ac:dyDescent="0.25">
      <c r="A21">
        <v>20</v>
      </c>
      <c r="B21" t="s">
        <v>13</v>
      </c>
      <c r="C21">
        <v>30</v>
      </c>
      <c r="D21" t="s">
        <v>18</v>
      </c>
      <c r="E21">
        <v>7.6</v>
      </c>
      <c r="F21">
        <v>7</v>
      </c>
      <c r="G21">
        <v>75</v>
      </c>
      <c r="H21">
        <v>6</v>
      </c>
      <c r="I21" t="s">
        <v>19</v>
      </c>
      <c r="J21" t="s">
        <v>27</v>
      </c>
      <c r="K21">
        <v>70</v>
      </c>
      <c r="L21">
        <v>8000</v>
      </c>
      <c r="M21" t="s">
        <v>17</v>
      </c>
    </row>
    <row r="22" spans="1:13" x14ac:dyDescent="0.25">
      <c r="A22">
        <v>21</v>
      </c>
      <c r="B22" t="s">
        <v>13</v>
      </c>
      <c r="C22">
        <v>30</v>
      </c>
      <c r="D22" t="s">
        <v>18</v>
      </c>
      <c r="E22">
        <v>7.7</v>
      </c>
      <c r="F22">
        <v>7</v>
      </c>
      <c r="G22">
        <v>75</v>
      </c>
      <c r="H22">
        <v>6</v>
      </c>
      <c r="I22" t="s">
        <v>19</v>
      </c>
      <c r="J22" t="s">
        <v>27</v>
      </c>
      <c r="K22">
        <v>70</v>
      </c>
      <c r="L22">
        <v>8000</v>
      </c>
      <c r="M22" t="s">
        <v>17</v>
      </c>
    </row>
    <row r="23" spans="1:13" x14ac:dyDescent="0.25">
      <c r="A23">
        <v>22</v>
      </c>
      <c r="B23" t="s">
        <v>13</v>
      </c>
      <c r="C23">
        <v>30</v>
      </c>
      <c r="D23" t="s">
        <v>18</v>
      </c>
      <c r="E23">
        <v>7.7</v>
      </c>
      <c r="F23">
        <v>7</v>
      </c>
      <c r="G23">
        <v>75</v>
      </c>
      <c r="H23">
        <v>6</v>
      </c>
      <c r="I23" t="s">
        <v>19</v>
      </c>
      <c r="J23" t="s">
        <v>27</v>
      </c>
      <c r="K23">
        <v>70</v>
      </c>
      <c r="L23">
        <v>8000</v>
      </c>
      <c r="M23" t="s">
        <v>17</v>
      </c>
    </row>
    <row r="24" spans="1:13" x14ac:dyDescent="0.25">
      <c r="A24">
        <v>23</v>
      </c>
      <c r="B24" t="s">
        <v>13</v>
      </c>
      <c r="C24">
        <v>30</v>
      </c>
      <c r="D24" t="s">
        <v>18</v>
      </c>
      <c r="E24">
        <v>7.7</v>
      </c>
      <c r="F24">
        <v>7</v>
      </c>
      <c r="G24">
        <v>75</v>
      </c>
      <c r="H24">
        <v>6</v>
      </c>
      <c r="I24" t="s">
        <v>19</v>
      </c>
      <c r="J24" t="s">
        <v>27</v>
      </c>
      <c r="K24">
        <v>70</v>
      </c>
      <c r="L24">
        <v>8000</v>
      </c>
      <c r="M24" t="s">
        <v>17</v>
      </c>
    </row>
    <row r="25" spans="1:13" x14ac:dyDescent="0.25">
      <c r="A25">
        <v>24</v>
      </c>
      <c r="B25" t="s">
        <v>13</v>
      </c>
      <c r="C25">
        <v>30</v>
      </c>
      <c r="D25" t="s">
        <v>18</v>
      </c>
      <c r="E25">
        <v>7.7</v>
      </c>
      <c r="F25">
        <v>7</v>
      </c>
      <c r="G25">
        <v>75</v>
      </c>
      <c r="H25">
        <v>6</v>
      </c>
      <c r="I25" t="s">
        <v>19</v>
      </c>
      <c r="J25" t="s">
        <v>27</v>
      </c>
      <c r="K25">
        <v>70</v>
      </c>
      <c r="L25">
        <v>8000</v>
      </c>
      <c r="M25" t="s">
        <v>17</v>
      </c>
    </row>
    <row r="26" spans="1:13" x14ac:dyDescent="0.25">
      <c r="A26">
        <v>25</v>
      </c>
      <c r="B26" t="s">
        <v>13</v>
      </c>
      <c r="C26">
        <v>30</v>
      </c>
      <c r="D26" t="s">
        <v>18</v>
      </c>
      <c r="E26">
        <v>7.8</v>
      </c>
      <c r="F26">
        <v>7</v>
      </c>
      <c r="G26">
        <v>75</v>
      </c>
      <c r="H26">
        <v>6</v>
      </c>
      <c r="I26" t="s">
        <v>19</v>
      </c>
      <c r="J26" t="s">
        <v>27</v>
      </c>
      <c r="K26">
        <v>70</v>
      </c>
      <c r="L26">
        <v>8000</v>
      </c>
      <c r="M26" t="s">
        <v>17</v>
      </c>
    </row>
    <row r="27" spans="1:13" x14ac:dyDescent="0.25">
      <c r="A27">
        <v>26</v>
      </c>
      <c r="B27" t="s">
        <v>13</v>
      </c>
      <c r="C27">
        <v>30</v>
      </c>
      <c r="D27" t="s">
        <v>18</v>
      </c>
      <c r="E27">
        <v>7.9</v>
      </c>
      <c r="F27">
        <v>7</v>
      </c>
      <c r="G27">
        <v>75</v>
      </c>
      <c r="H27">
        <v>6</v>
      </c>
      <c r="I27" t="s">
        <v>19</v>
      </c>
      <c r="J27" t="s">
        <v>27</v>
      </c>
      <c r="K27">
        <v>70</v>
      </c>
      <c r="L27">
        <v>8000</v>
      </c>
      <c r="M27" t="s">
        <v>17</v>
      </c>
    </row>
    <row r="28" spans="1:13" x14ac:dyDescent="0.25">
      <c r="A28">
        <v>27</v>
      </c>
      <c r="B28" t="s">
        <v>13</v>
      </c>
      <c r="C28">
        <v>30</v>
      </c>
      <c r="D28" t="s">
        <v>18</v>
      </c>
      <c r="E28">
        <v>7.8</v>
      </c>
      <c r="F28">
        <v>7</v>
      </c>
      <c r="G28">
        <v>75</v>
      </c>
      <c r="H28">
        <v>6</v>
      </c>
      <c r="I28" t="s">
        <v>19</v>
      </c>
      <c r="J28" t="s">
        <v>27</v>
      </c>
      <c r="K28">
        <v>70</v>
      </c>
      <c r="L28">
        <v>8000</v>
      </c>
      <c r="M28" t="s">
        <v>17</v>
      </c>
    </row>
    <row r="29" spans="1:13" x14ac:dyDescent="0.25">
      <c r="A29">
        <v>28</v>
      </c>
      <c r="B29" t="s">
        <v>13</v>
      </c>
      <c r="C29">
        <v>30</v>
      </c>
      <c r="D29" t="s">
        <v>18</v>
      </c>
      <c r="E29">
        <v>7.9</v>
      </c>
      <c r="F29">
        <v>7</v>
      </c>
      <c r="G29">
        <v>75</v>
      </c>
      <c r="H29">
        <v>6</v>
      </c>
      <c r="I29" t="s">
        <v>19</v>
      </c>
      <c r="J29" t="s">
        <v>27</v>
      </c>
      <c r="K29">
        <v>70</v>
      </c>
      <c r="L29">
        <v>8000</v>
      </c>
      <c r="M29" t="s">
        <v>17</v>
      </c>
    </row>
    <row r="30" spans="1:13" x14ac:dyDescent="0.25">
      <c r="A30">
        <v>29</v>
      </c>
      <c r="B30" t="s">
        <v>13</v>
      </c>
      <c r="C30">
        <v>30</v>
      </c>
      <c r="D30" t="s">
        <v>18</v>
      </c>
      <c r="E30">
        <v>7.9</v>
      </c>
      <c r="F30">
        <v>7</v>
      </c>
      <c r="G30">
        <v>75</v>
      </c>
      <c r="H30">
        <v>6</v>
      </c>
      <c r="I30" t="s">
        <v>19</v>
      </c>
      <c r="J30" t="s">
        <v>27</v>
      </c>
      <c r="K30">
        <v>70</v>
      </c>
      <c r="L30">
        <v>8000</v>
      </c>
      <c r="M30" t="s">
        <v>17</v>
      </c>
    </row>
    <row r="31" spans="1:13" x14ac:dyDescent="0.25">
      <c r="A31">
        <v>30</v>
      </c>
      <c r="B31" t="s">
        <v>13</v>
      </c>
      <c r="C31">
        <v>30</v>
      </c>
      <c r="D31" t="s">
        <v>18</v>
      </c>
      <c r="E31">
        <v>7.9</v>
      </c>
      <c r="F31">
        <v>7</v>
      </c>
      <c r="G31">
        <v>75</v>
      </c>
      <c r="H31">
        <v>6</v>
      </c>
      <c r="I31" t="s">
        <v>19</v>
      </c>
      <c r="J31" t="s">
        <v>27</v>
      </c>
      <c r="K31">
        <v>70</v>
      </c>
      <c r="L31">
        <v>8000</v>
      </c>
      <c r="M31" t="s">
        <v>17</v>
      </c>
    </row>
    <row r="32" spans="1:13" x14ac:dyDescent="0.25">
      <c r="A32">
        <v>31</v>
      </c>
      <c r="B32" t="s">
        <v>28</v>
      </c>
      <c r="C32">
        <v>30</v>
      </c>
      <c r="D32" t="s">
        <v>29</v>
      </c>
      <c r="E32">
        <v>6.4</v>
      </c>
      <c r="F32">
        <v>5</v>
      </c>
      <c r="G32">
        <v>35</v>
      </c>
      <c r="H32">
        <v>7</v>
      </c>
      <c r="I32" t="s">
        <v>30</v>
      </c>
      <c r="J32" t="s">
        <v>32</v>
      </c>
      <c r="K32">
        <v>78</v>
      </c>
      <c r="L32">
        <v>4100</v>
      </c>
      <c r="M32" t="s">
        <v>24</v>
      </c>
    </row>
    <row r="33" spans="1:13" x14ac:dyDescent="0.25">
      <c r="A33">
        <v>32</v>
      </c>
      <c r="B33" t="s">
        <v>28</v>
      </c>
      <c r="C33">
        <v>30</v>
      </c>
      <c r="D33" t="s">
        <v>29</v>
      </c>
      <c r="E33">
        <v>6.4</v>
      </c>
      <c r="F33">
        <v>5</v>
      </c>
      <c r="G33">
        <v>35</v>
      </c>
      <c r="H33">
        <v>7</v>
      </c>
      <c r="I33" t="s">
        <v>30</v>
      </c>
      <c r="J33" t="s">
        <v>32</v>
      </c>
      <c r="K33">
        <v>78</v>
      </c>
      <c r="L33">
        <v>4100</v>
      </c>
      <c r="M33" t="s">
        <v>25</v>
      </c>
    </row>
    <row r="34" spans="1:13" x14ac:dyDescent="0.25">
      <c r="A34">
        <v>33</v>
      </c>
      <c r="B34" t="s">
        <v>28</v>
      </c>
      <c r="C34">
        <v>31</v>
      </c>
      <c r="D34" t="s">
        <v>29</v>
      </c>
      <c r="E34">
        <v>7.9</v>
      </c>
      <c r="F34">
        <v>8</v>
      </c>
      <c r="G34">
        <v>75</v>
      </c>
      <c r="H34">
        <v>4</v>
      </c>
      <c r="I34" t="s">
        <v>30</v>
      </c>
      <c r="J34" t="s">
        <v>33</v>
      </c>
      <c r="K34">
        <v>69</v>
      </c>
      <c r="L34">
        <v>6800</v>
      </c>
      <c r="M34" t="s">
        <v>17</v>
      </c>
    </row>
    <row r="35" spans="1:13" x14ac:dyDescent="0.25">
      <c r="A35">
        <v>34</v>
      </c>
      <c r="B35" t="s">
        <v>13</v>
      </c>
      <c r="C35">
        <v>31</v>
      </c>
      <c r="D35" t="s">
        <v>18</v>
      </c>
      <c r="E35">
        <v>6.1</v>
      </c>
      <c r="F35">
        <v>6</v>
      </c>
      <c r="G35">
        <v>30</v>
      </c>
      <c r="H35">
        <v>8</v>
      </c>
      <c r="I35" t="s">
        <v>19</v>
      </c>
      <c r="J35" t="s">
        <v>20</v>
      </c>
      <c r="K35">
        <v>72</v>
      </c>
      <c r="L35">
        <v>5000</v>
      </c>
      <c r="M35" t="s">
        <v>17</v>
      </c>
    </row>
    <row r="36" spans="1:13" x14ac:dyDescent="0.25">
      <c r="A36">
        <v>35</v>
      </c>
      <c r="B36" t="s">
        <v>13</v>
      </c>
      <c r="C36">
        <v>31</v>
      </c>
      <c r="D36" t="s">
        <v>18</v>
      </c>
      <c r="E36">
        <v>7.7</v>
      </c>
      <c r="F36">
        <v>7</v>
      </c>
      <c r="G36">
        <v>75</v>
      </c>
      <c r="H36">
        <v>6</v>
      </c>
      <c r="I36" t="s">
        <v>19</v>
      </c>
      <c r="J36" t="s">
        <v>27</v>
      </c>
      <c r="K36">
        <v>70</v>
      </c>
      <c r="L36">
        <v>8000</v>
      </c>
      <c r="M36" t="s">
        <v>17</v>
      </c>
    </row>
    <row r="37" spans="1:13" x14ac:dyDescent="0.25">
      <c r="A37">
        <v>36</v>
      </c>
      <c r="B37" t="s">
        <v>13</v>
      </c>
      <c r="C37">
        <v>31</v>
      </c>
      <c r="D37" t="s">
        <v>18</v>
      </c>
      <c r="E37">
        <v>6.1</v>
      </c>
      <c r="F37">
        <v>6</v>
      </c>
      <c r="G37">
        <v>30</v>
      </c>
      <c r="H37">
        <v>8</v>
      </c>
      <c r="I37" t="s">
        <v>19</v>
      </c>
      <c r="J37" t="s">
        <v>20</v>
      </c>
      <c r="K37">
        <v>72</v>
      </c>
      <c r="L37">
        <v>5000</v>
      </c>
      <c r="M37" t="s">
        <v>17</v>
      </c>
    </row>
    <row r="38" spans="1:13" x14ac:dyDescent="0.25">
      <c r="A38">
        <v>37</v>
      </c>
      <c r="B38" t="s">
        <v>13</v>
      </c>
      <c r="C38">
        <v>31</v>
      </c>
      <c r="D38" t="s">
        <v>18</v>
      </c>
      <c r="E38">
        <v>6.1</v>
      </c>
      <c r="F38">
        <v>6</v>
      </c>
      <c r="G38">
        <v>30</v>
      </c>
      <c r="H38">
        <v>8</v>
      </c>
      <c r="I38" t="s">
        <v>19</v>
      </c>
      <c r="J38" t="s">
        <v>20</v>
      </c>
      <c r="K38">
        <v>72</v>
      </c>
      <c r="L38">
        <v>5000</v>
      </c>
      <c r="M38" t="s">
        <v>17</v>
      </c>
    </row>
    <row r="39" spans="1:13" x14ac:dyDescent="0.25">
      <c r="A39">
        <v>38</v>
      </c>
      <c r="B39" t="s">
        <v>13</v>
      </c>
      <c r="C39">
        <v>31</v>
      </c>
      <c r="D39" t="s">
        <v>18</v>
      </c>
      <c r="E39">
        <v>7.6</v>
      </c>
      <c r="F39">
        <v>7</v>
      </c>
      <c r="G39">
        <v>75</v>
      </c>
      <c r="H39">
        <v>6</v>
      </c>
      <c r="I39" t="s">
        <v>19</v>
      </c>
      <c r="J39" t="s">
        <v>27</v>
      </c>
      <c r="K39">
        <v>70</v>
      </c>
      <c r="L39">
        <v>8000</v>
      </c>
      <c r="M39" t="s">
        <v>17</v>
      </c>
    </row>
    <row r="40" spans="1:13" x14ac:dyDescent="0.25">
      <c r="A40">
        <v>39</v>
      </c>
      <c r="B40" t="s">
        <v>13</v>
      </c>
      <c r="C40">
        <v>31</v>
      </c>
      <c r="D40" t="s">
        <v>18</v>
      </c>
      <c r="E40">
        <v>7.6</v>
      </c>
      <c r="F40">
        <v>7</v>
      </c>
      <c r="G40">
        <v>75</v>
      </c>
      <c r="H40">
        <v>6</v>
      </c>
      <c r="I40" t="s">
        <v>19</v>
      </c>
      <c r="J40" t="s">
        <v>27</v>
      </c>
      <c r="K40">
        <v>70</v>
      </c>
      <c r="L40">
        <v>8000</v>
      </c>
      <c r="M40" t="s">
        <v>17</v>
      </c>
    </row>
    <row r="41" spans="1:13" x14ac:dyDescent="0.25">
      <c r="A41">
        <v>40</v>
      </c>
      <c r="B41" t="s">
        <v>13</v>
      </c>
      <c r="C41">
        <v>31</v>
      </c>
      <c r="D41" t="s">
        <v>18</v>
      </c>
      <c r="E41">
        <v>7.6</v>
      </c>
      <c r="F41">
        <v>7</v>
      </c>
      <c r="G41">
        <v>75</v>
      </c>
      <c r="H41">
        <v>6</v>
      </c>
      <c r="I41" t="s">
        <v>19</v>
      </c>
      <c r="J41" t="s">
        <v>27</v>
      </c>
      <c r="K41">
        <v>70</v>
      </c>
      <c r="L41">
        <v>8000</v>
      </c>
      <c r="M41" t="s">
        <v>17</v>
      </c>
    </row>
    <row r="42" spans="1:13" x14ac:dyDescent="0.25">
      <c r="A42">
        <v>41</v>
      </c>
      <c r="B42" t="s">
        <v>13</v>
      </c>
      <c r="C42">
        <v>31</v>
      </c>
      <c r="D42" t="s">
        <v>18</v>
      </c>
      <c r="E42">
        <v>7.7</v>
      </c>
      <c r="F42">
        <v>7</v>
      </c>
      <c r="G42">
        <v>75</v>
      </c>
      <c r="H42">
        <v>6</v>
      </c>
      <c r="I42" t="s">
        <v>19</v>
      </c>
      <c r="J42" t="s">
        <v>27</v>
      </c>
      <c r="K42">
        <v>70</v>
      </c>
      <c r="L42">
        <v>8000</v>
      </c>
      <c r="M42" t="s">
        <v>17</v>
      </c>
    </row>
    <row r="43" spans="1:13" x14ac:dyDescent="0.25">
      <c r="A43">
        <v>42</v>
      </c>
      <c r="B43" t="s">
        <v>13</v>
      </c>
      <c r="C43">
        <v>31</v>
      </c>
      <c r="D43" t="s">
        <v>18</v>
      </c>
      <c r="E43">
        <v>7.7</v>
      </c>
      <c r="F43">
        <v>7</v>
      </c>
      <c r="G43">
        <v>75</v>
      </c>
      <c r="H43">
        <v>6</v>
      </c>
      <c r="I43" t="s">
        <v>19</v>
      </c>
      <c r="J43" t="s">
        <v>27</v>
      </c>
      <c r="K43">
        <v>70</v>
      </c>
      <c r="L43">
        <v>8000</v>
      </c>
      <c r="M43" t="s">
        <v>17</v>
      </c>
    </row>
    <row r="44" spans="1:13" x14ac:dyDescent="0.25">
      <c r="A44">
        <v>43</v>
      </c>
      <c r="B44" t="s">
        <v>13</v>
      </c>
      <c r="C44">
        <v>31</v>
      </c>
      <c r="D44" t="s">
        <v>18</v>
      </c>
      <c r="E44">
        <v>7.7</v>
      </c>
      <c r="F44">
        <v>7</v>
      </c>
      <c r="G44">
        <v>75</v>
      </c>
      <c r="H44">
        <v>6</v>
      </c>
      <c r="I44" t="s">
        <v>19</v>
      </c>
      <c r="J44" t="s">
        <v>27</v>
      </c>
      <c r="K44">
        <v>70</v>
      </c>
      <c r="L44">
        <v>8000</v>
      </c>
      <c r="M44" t="s">
        <v>17</v>
      </c>
    </row>
    <row r="45" spans="1:13" x14ac:dyDescent="0.25">
      <c r="A45">
        <v>44</v>
      </c>
      <c r="B45" t="s">
        <v>13</v>
      </c>
      <c r="C45">
        <v>31</v>
      </c>
      <c r="D45" t="s">
        <v>18</v>
      </c>
      <c r="E45">
        <v>7.8</v>
      </c>
      <c r="F45">
        <v>7</v>
      </c>
      <c r="G45">
        <v>75</v>
      </c>
      <c r="H45">
        <v>6</v>
      </c>
      <c r="I45" t="s">
        <v>19</v>
      </c>
      <c r="J45" t="s">
        <v>27</v>
      </c>
      <c r="K45">
        <v>70</v>
      </c>
      <c r="L45">
        <v>8000</v>
      </c>
      <c r="M45" t="s">
        <v>17</v>
      </c>
    </row>
    <row r="46" spans="1:13" x14ac:dyDescent="0.25">
      <c r="A46">
        <v>45</v>
      </c>
      <c r="B46" t="s">
        <v>13</v>
      </c>
      <c r="C46">
        <v>31</v>
      </c>
      <c r="D46" t="s">
        <v>18</v>
      </c>
      <c r="E46">
        <v>7.7</v>
      </c>
      <c r="F46">
        <v>7</v>
      </c>
      <c r="G46">
        <v>75</v>
      </c>
      <c r="H46">
        <v>6</v>
      </c>
      <c r="I46" t="s">
        <v>19</v>
      </c>
      <c r="J46" t="s">
        <v>27</v>
      </c>
      <c r="K46">
        <v>70</v>
      </c>
      <c r="L46">
        <v>8000</v>
      </c>
      <c r="M46" t="s">
        <v>17</v>
      </c>
    </row>
    <row r="47" spans="1:13" x14ac:dyDescent="0.25">
      <c r="A47">
        <v>46</v>
      </c>
      <c r="B47" t="s">
        <v>13</v>
      </c>
      <c r="C47">
        <v>31</v>
      </c>
      <c r="D47" t="s">
        <v>18</v>
      </c>
      <c r="E47">
        <v>7.8</v>
      </c>
      <c r="F47">
        <v>7</v>
      </c>
      <c r="G47">
        <v>75</v>
      </c>
      <c r="H47">
        <v>6</v>
      </c>
      <c r="I47" t="s">
        <v>19</v>
      </c>
      <c r="J47" t="s">
        <v>27</v>
      </c>
      <c r="K47">
        <v>70</v>
      </c>
      <c r="L47">
        <v>8000</v>
      </c>
      <c r="M47" t="s">
        <v>17</v>
      </c>
    </row>
    <row r="48" spans="1:13" x14ac:dyDescent="0.25">
      <c r="A48">
        <v>47</v>
      </c>
      <c r="B48" t="s">
        <v>13</v>
      </c>
      <c r="C48">
        <v>31</v>
      </c>
      <c r="D48" t="s">
        <v>18</v>
      </c>
      <c r="E48">
        <v>7.7</v>
      </c>
      <c r="F48">
        <v>7</v>
      </c>
      <c r="G48">
        <v>75</v>
      </c>
      <c r="H48">
        <v>6</v>
      </c>
      <c r="I48" t="s">
        <v>19</v>
      </c>
      <c r="J48" t="s">
        <v>27</v>
      </c>
      <c r="K48">
        <v>70</v>
      </c>
      <c r="L48">
        <v>8000</v>
      </c>
      <c r="M48" t="s">
        <v>17</v>
      </c>
    </row>
    <row r="49" spans="1:13" x14ac:dyDescent="0.25">
      <c r="A49">
        <v>48</v>
      </c>
      <c r="B49" t="s">
        <v>13</v>
      </c>
      <c r="C49">
        <v>31</v>
      </c>
      <c r="D49" t="s">
        <v>18</v>
      </c>
      <c r="E49">
        <v>7.8</v>
      </c>
      <c r="F49">
        <v>7</v>
      </c>
      <c r="G49">
        <v>75</v>
      </c>
      <c r="H49">
        <v>6</v>
      </c>
      <c r="I49" t="s">
        <v>19</v>
      </c>
      <c r="J49" t="s">
        <v>27</v>
      </c>
      <c r="K49">
        <v>70</v>
      </c>
      <c r="L49">
        <v>8000</v>
      </c>
      <c r="M49" t="s">
        <v>17</v>
      </c>
    </row>
    <row r="50" spans="1:13" x14ac:dyDescent="0.25">
      <c r="A50">
        <v>49</v>
      </c>
      <c r="B50" t="s">
        <v>13</v>
      </c>
      <c r="C50">
        <v>31</v>
      </c>
      <c r="D50" t="s">
        <v>18</v>
      </c>
      <c r="E50">
        <v>7.7</v>
      </c>
      <c r="F50">
        <v>7</v>
      </c>
      <c r="G50">
        <v>75</v>
      </c>
      <c r="H50">
        <v>6</v>
      </c>
      <c r="I50" t="s">
        <v>19</v>
      </c>
      <c r="J50" t="s">
        <v>27</v>
      </c>
      <c r="K50">
        <v>70</v>
      </c>
      <c r="L50">
        <v>8000</v>
      </c>
      <c r="M50" t="s">
        <v>17</v>
      </c>
    </row>
    <row r="51" spans="1:13" x14ac:dyDescent="0.25">
      <c r="A51">
        <v>50</v>
      </c>
      <c r="B51" t="s">
        <v>13</v>
      </c>
      <c r="C51">
        <v>31</v>
      </c>
      <c r="D51" t="s">
        <v>18</v>
      </c>
      <c r="E51">
        <v>7.7</v>
      </c>
      <c r="F51">
        <v>7</v>
      </c>
      <c r="G51">
        <v>75</v>
      </c>
      <c r="H51">
        <v>6</v>
      </c>
      <c r="I51" t="s">
        <v>19</v>
      </c>
      <c r="J51" t="s">
        <v>27</v>
      </c>
      <c r="K51">
        <v>70</v>
      </c>
      <c r="L51">
        <v>8000</v>
      </c>
      <c r="M51" t="s">
        <v>24</v>
      </c>
    </row>
    <row r="52" spans="1:13" x14ac:dyDescent="0.25">
      <c r="A52">
        <v>51</v>
      </c>
      <c r="B52" t="s">
        <v>13</v>
      </c>
      <c r="C52">
        <v>32</v>
      </c>
      <c r="D52" t="s">
        <v>34</v>
      </c>
      <c r="E52">
        <v>7.5</v>
      </c>
      <c r="F52">
        <v>8</v>
      </c>
      <c r="G52">
        <v>45</v>
      </c>
      <c r="H52">
        <v>3</v>
      </c>
      <c r="I52" t="s">
        <v>19</v>
      </c>
      <c r="J52" t="s">
        <v>27</v>
      </c>
      <c r="K52">
        <v>70</v>
      </c>
      <c r="L52">
        <v>8000</v>
      </c>
      <c r="M52" t="s">
        <v>17</v>
      </c>
    </row>
    <row r="53" spans="1:13" x14ac:dyDescent="0.25">
      <c r="A53">
        <v>52</v>
      </c>
      <c r="B53" t="s">
        <v>13</v>
      </c>
      <c r="C53">
        <v>32</v>
      </c>
      <c r="D53" t="s">
        <v>34</v>
      </c>
      <c r="E53">
        <v>7.5</v>
      </c>
      <c r="F53">
        <v>8</v>
      </c>
      <c r="G53">
        <v>45</v>
      </c>
      <c r="H53">
        <v>3</v>
      </c>
      <c r="I53" t="s">
        <v>19</v>
      </c>
      <c r="J53" t="s">
        <v>27</v>
      </c>
      <c r="K53">
        <v>70</v>
      </c>
      <c r="L53">
        <v>8000</v>
      </c>
      <c r="M53" t="s">
        <v>17</v>
      </c>
    </row>
    <row r="54" spans="1:13" x14ac:dyDescent="0.25">
      <c r="A54">
        <v>53</v>
      </c>
      <c r="B54" t="s">
        <v>13</v>
      </c>
      <c r="C54">
        <v>32</v>
      </c>
      <c r="D54" t="s">
        <v>18</v>
      </c>
      <c r="E54">
        <v>6</v>
      </c>
      <c r="F54">
        <v>6</v>
      </c>
      <c r="G54">
        <v>30</v>
      </c>
      <c r="H54">
        <v>8</v>
      </c>
      <c r="I54" t="s">
        <v>19</v>
      </c>
      <c r="J54" t="s">
        <v>20</v>
      </c>
      <c r="K54">
        <v>72</v>
      </c>
      <c r="L54">
        <v>5000</v>
      </c>
      <c r="M54" t="s">
        <v>17</v>
      </c>
    </row>
    <row r="55" spans="1:13" x14ac:dyDescent="0.25">
      <c r="A55">
        <v>54</v>
      </c>
      <c r="B55" t="s">
        <v>13</v>
      </c>
      <c r="C55">
        <v>32</v>
      </c>
      <c r="D55" t="s">
        <v>18</v>
      </c>
      <c r="E55">
        <v>7.6</v>
      </c>
      <c r="F55">
        <v>7</v>
      </c>
      <c r="G55">
        <v>75</v>
      </c>
      <c r="H55">
        <v>6</v>
      </c>
      <c r="I55" t="s">
        <v>19</v>
      </c>
      <c r="J55" t="s">
        <v>27</v>
      </c>
      <c r="K55">
        <v>70</v>
      </c>
      <c r="L55">
        <v>8000</v>
      </c>
      <c r="M55" t="s">
        <v>17</v>
      </c>
    </row>
    <row r="56" spans="1:13" x14ac:dyDescent="0.25">
      <c r="A56">
        <v>55</v>
      </c>
      <c r="B56" t="s">
        <v>13</v>
      </c>
      <c r="C56">
        <v>32</v>
      </c>
      <c r="D56" t="s">
        <v>18</v>
      </c>
      <c r="E56">
        <v>6</v>
      </c>
      <c r="F56">
        <v>6</v>
      </c>
      <c r="G56">
        <v>30</v>
      </c>
      <c r="H56">
        <v>8</v>
      </c>
      <c r="I56" t="s">
        <v>19</v>
      </c>
      <c r="J56" t="s">
        <v>20</v>
      </c>
      <c r="K56">
        <v>72</v>
      </c>
      <c r="L56">
        <v>5000</v>
      </c>
      <c r="M56" t="s">
        <v>17</v>
      </c>
    </row>
    <row r="57" spans="1:13" x14ac:dyDescent="0.25">
      <c r="A57">
        <v>56</v>
      </c>
      <c r="B57" t="s">
        <v>13</v>
      </c>
      <c r="C57">
        <v>32</v>
      </c>
      <c r="D57" t="s">
        <v>18</v>
      </c>
      <c r="E57">
        <v>6</v>
      </c>
      <c r="F57">
        <v>6</v>
      </c>
      <c r="G57">
        <v>30</v>
      </c>
      <c r="H57">
        <v>8</v>
      </c>
      <c r="I57" t="s">
        <v>19</v>
      </c>
      <c r="J57" t="s">
        <v>20</v>
      </c>
      <c r="K57">
        <v>72</v>
      </c>
      <c r="L57">
        <v>5000</v>
      </c>
      <c r="M57" t="s">
        <v>17</v>
      </c>
    </row>
    <row r="58" spans="1:13" x14ac:dyDescent="0.25">
      <c r="A58">
        <v>57</v>
      </c>
      <c r="B58" t="s">
        <v>13</v>
      </c>
      <c r="C58">
        <v>32</v>
      </c>
      <c r="D58" t="s">
        <v>18</v>
      </c>
      <c r="E58">
        <v>7.7</v>
      </c>
      <c r="F58">
        <v>7</v>
      </c>
      <c r="G58">
        <v>75</v>
      </c>
      <c r="H58">
        <v>6</v>
      </c>
      <c r="I58" t="s">
        <v>19</v>
      </c>
      <c r="J58" t="s">
        <v>27</v>
      </c>
      <c r="K58">
        <v>70</v>
      </c>
      <c r="L58">
        <v>8000</v>
      </c>
      <c r="M58" t="s">
        <v>17</v>
      </c>
    </row>
    <row r="59" spans="1:13" x14ac:dyDescent="0.25">
      <c r="A59">
        <v>58</v>
      </c>
      <c r="B59" t="s">
        <v>13</v>
      </c>
      <c r="C59">
        <v>32</v>
      </c>
      <c r="D59" t="s">
        <v>18</v>
      </c>
      <c r="E59">
        <v>6</v>
      </c>
      <c r="F59">
        <v>6</v>
      </c>
      <c r="G59">
        <v>30</v>
      </c>
      <c r="H59">
        <v>8</v>
      </c>
      <c r="I59" t="s">
        <v>19</v>
      </c>
      <c r="J59" t="s">
        <v>20</v>
      </c>
      <c r="K59">
        <v>72</v>
      </c>
      <c r="L59">
        <v>5000</v>
      </c>
      <c r="M59" t="s">
        <v>17</v>
      </c>
    </row>
    <row r="60" spans="1:13" x14ac:dyDescent="0.25">
      <c r="A60">
        <v>59</v>
      </c>
      <c r="B60" t="s">
        <v>13</v>
      </c>
      <c r="C60">
        <v>32</v>
      </c>
      <c r="D60" t="s">
        <v>18</v>
      </c>
      <c r="E60">
        <v>6</v>
      </c>
      <c r="F60">
        <v>6</v>
      </c>
      <c r="G60">
        <v>30</v>
      </c>
      <c r="H60">
        <v>8</v>
      </c>
      <c r="I60" t="s">
        <v>19</v>
      </c>
      <c r="J60" t="s">
        <v>20</v>
      </c>
      <c r="K60">
        <v>72</v>
      </c>
      <c r="L60">
        <v>5000</v>
      </c>
      <c r="M60" t="s">
        <v>17</v>
      </c>
    </row>
    <row r="61" spans="1:13" x14ac:dyDescent="0.25">
      <c r="A61">
        <v>60</v>
      </c>
      <c r="B61" t="s">
        <v>13</v>
      </c>
      <c r="C61">
        <v>32</v>
      </c>
      <c r="D61" t="s">
        <v>18</v>
      </c>
      <c r="E61">
        <v>7.7</v>
      </c>
      <c r="F61">
        <v>7</v>
      </c>
      <c r="G61">
        <v>75</v>
      </c>
      <c r="H61">
        <v>6</v>
      </c>
      <c r="I61" t="s">
        <v>19</v>
      </c>
      <c r="J61" t="s">
        <v>27</v>
      </c>
      <c r="K61">
        <v>70</v>
      </c>
      <c r="L61">
        <v>8000</v>
      </c>
      <c r="M61" t="s">
        <v>17</v>
      </c>
    </row>
    <row r="62" spans="1:13" x14ac:dyDescent="0.25">
      <c r="A62">
        <v>61</v>
      </c>
      <c r="B62" t="s">
        <v>13</v>
      </c>
      <c r="C62">
        <v>32</v>
      </c>
      <c r="D62" t="s">
        <v>18</v>
      </c>
      <c r="E62">
        <v>6</v>
      </c>
      <c r="F62">
        <v>6</v>
      </c>
      <c r="G62">
        <v>30</v>
      </c>
      <c r="H62">
        <v>8</v>
      </c>
      <c r="I62" t="s">
        <v>19</v>
      </c>
      <c r="J62" t="s">
        <v>20</v>
      </c>
      <c r="K62">
        <v>72</v>
      </c>
      <c r="L62">
        <v>5000</v>
      </c>
      <c r="M62" t="s">
        <v>17</v>
      </c>
    </row>
    <row r="63" spans="1:13" x14ac:dyDescent="0.25">
      <c r="A63">
        <v>62</v>
      </c>
      <c r="B63" t="s">
        <v>13</v>
      </c>
      <c r="C63">
        <v>32</v>
      </c>
      <c r="D63" t="s">
        <v>18</v>
      </c>
      <c r="E63">
        <v>6</v>
      </c>
      <c r="F63">
        <v>6</v>
      </c>
      <c r="G63">
        <v>30</v>
      </c>
      <c r="H63">
        <v>8</v>
      </c>
      <c r="I63" t="s">
        <v>19</v>
      </c>
      <c r="J63" t="s">
        <v>20</v>
      </c>
      <c r="K63">
        <v>72</v>
      </c>
      <c r="L63">
        <v>5000</v>
      </c>
      <c r="M63" t="s">
        <v>17</v>
      </c>
    </row>
    <row r="64" spans="1:13" x14ac:dyDescent="0.25">
      <c r="A64">
        <v>63</v>
      </c>
      <c r="B64" t="s">
        <v>13</v>
      </c>
      <c r="C64">
        <v>32</v>
      </c>
      <c r="D64" t="s">
        <v>18</v>
      </c>
      <c r="E64">
        <v>6.2</v>
      </c>
      <c r="F64">
        <v>6</v>
      </c>
      <c r="G64">
        <v>30</v>
      </c>
      <c r="H64">
        <v>8</v>
      </c>
      <c r="I64" t="s">
        <v>19</v>
      </c>
      <c r="J64" t="s">
        <v>20</v>
      </c>
      <c r="K64">
        <v>72</v>
      </c>
      <c r="L64">
        <v>5000</v>
      </c>
      <c r="M64" t="s">
        <v>17</v>
      </c>
    </row>
    <row r="65" spans="1:13" x14ac:dyDescent="0.25">
      <c r="A65">
        <v>64</v>
      </c>
      <c r="B65" t="s">
        <v>13</v>
      </c>
      <c r="C65">
        <v>32</v>
      </c>
      <c r="D65" t="s">
        <v>18</v>
      </c>
      <c r="E65">
        <v>6.2</v>
      </c>
      <c r="F65">
        <v>6</v>
      </c>
      <c r="G65">
        <v>30</v>
      </c>
      <c r="H65">
        <v>8</v>
      </c>
      <c r="I65" t="s">
        <v>19</v>
      </c>
      <c r="J65" t="s">
        <v>20</v>
      </c>
      <c r="K65">
        <v>72</v>
      </c>
      <c r="L65">
        <v>5000</v>
      </c>
      <c r="M65" t="s">
        <v>17</v>
      </c>
    </row>
    <row r="66" spans="1:13" x14ac:dyDescent="0.25">
      <c r="A66">
        <v>65</v>
      </c>
      <c r="B66" t="s">
        <v>13</v>
      </c>
      <c r="C66">
        <v>32</v>
      </c>
      <c r="D66" t="s">
        <v>18</v>
      </c>
      <c r="E66">
        <v>6.2</v>
      </c>
      <c r="F66">
        <v>6</v>
      </c>
      <c r="G66">
        <v>30</v>
      </c>
      <c r="H66">
        <v>8</v>
      </c>
      <c r="I66" t="s">
        <v>19</v>
      </c>
      <c r="J66" t="s">
        <v>20</v>
      </c>
      <c r="K66">
        <v>72</v>
      </c>
      <c r="L66">
        <v>5000</v>
      </c>
      <c r="M66" t="s">
        <v>17</v>
      </c>
    </row>
    <row r="67" spans="1:13" x14ac:dyDescent="0.25">
      <c r="A67">
        <v>66</v>
      </c>
      <c r="B67" t="s">
        <v>13</v>
      </c>
      <c r="C67">
        <v>32</v>
      </c>
      <c r="D67" t="s">
        <v>18</v>
      </c>
      <c r="E67">
        <v>6.2</v>
      </c>
      <c r="F67">
        <v>6</v>
      </c>
      <c r="G67">
        <v>30</v>
      </c>
      <c r="H67">
        <v>8</v>
      </c>
      <c r="I67" t="s">
        <v>19</v>
      </c>
      <c r="J67" t="s">
        <v>20</v>
      </c>
      <c r="K67">
        <v>72</v>
      </c>
      <c r="L67">
        <v>5000</v>
      </c>
      <c r="M67" t="s">
        <v>17</v>
      </c>
    </row>
    <row r="68" spans="1:13" x14ac:dyDescent="0.25">
      <c r="A68">
        <v>67</v>
      </c>
      <c r="B68" t="s">
        <v>13</v>
      </c>
      <c r="C68">
        <v>32</v>
      </c>
      <c r="D68" t="s">
        <v>35</v>
      </c>
      <c r="E68">
        <v>7.2</v>
      </c>
      <c r="F68">
        <v>8</v>
      </c>
      <c r="G68">
        <v>50</v>
      </c>
      <c r="H68">
        <v>6</v>
      </c>
      <c r="I68" t="s">
        <v>30</v>
      </c>
      <c r="J68" t="s">
        <v>36</v>
      </c>
      <c r="K68">
        <v>68</v>
      </c>
      <c r="L68">
        <v>7000</v>
      </c>
      <c r="M68" t="s">
        <v>17</v>
      </c>
    </row>
    <row r="69" spans="1:13" x14ac:dyDescent="0.25">
      <c r="A69">
        <v>68</v>
      </c>
      <c r="B69" t="s">
        <v>13</v>
      </c>
      <c r="C69">
        <v>33</v>
      </c>
      <c r="D69" t="s">
        <v>18</v>
      </c>
      <c r="E69">
        <v>6</v>
      </c>
      <c r="F69">
        <v>6</v>
      </c>
      <c r="G69">
        <v>30</v>
      </c>
      <c r="H69">
        <v>8</v>
      </c>
      <c r="I69" t="s">
        <v>19</v>
      </c>
      <c r="J69" t="s">
        <v>20</v>
      </c>
      <c r="K69">
        <v>72</v>
      </c>
      <c r="L69">
        <v>5000</v>
      </c>
      <c r="M69" t="s">
        <v>25</v>
      </c>
    </row>
    <row r="70" spans="1:13" x14ac:dyDescent="0.25">
      <c r="A70">
        <v>69</v>
      </c>
      <c r="B70" t="s">
        <v>28</v>
      </c>
      <c r="C70">
        <v>33</v>
      </c>
      <c r="D70" t="s">
        <v>37</v>
      </c>
      <c r="E70">
        <v>6.2</v>
      </c>
      <c r="F70">
        <v>6</v>
      </c>
      <c r="G70">
        <v>50</v>
      </c>
      <c r="H70">
        <v>6</v>
      </c>
      <c r="I70" t="s">
        <v>15</v>
      </c>
      <c r="J70" t="s">
        <v>38</v>
      </c>
      <c r="K70">
        <v>76</v>
      </c>
      <c r="L70">
        <v>5500</v>
      </c>
      <c r="M70" t="s">
        <v>17</v>
      </c>
    </row>
    <row r="71" spans="1:13" x14ac:dyDescent="0.25">
      <c r="A71">
        <v>70</v>
      </c>
      <c r="B71" t="s">
        <v>28</v>
      </c>
      <c r="C71">
        <v>33</v>
      </c>
      <c r="D71" t="s">
        <v>37</v>
      </c>
      <c r="E71">
        <v>6.2</v>
      </c>
      <c r="F71">
        <v>6</v>
      </c>
      <c r="G71">
        <v>50</v>
      </c>
      <c r="H71">
        <v>6</v>
      </c>
      <c r="I71" t="s">
        <v>15</v>
      </c>
      <c r="J71" t="s">
        <v>38</v>
      </c>
      <c r="K71">
        <v>76</v>
      </c>
      <c r="L71">
        <v>5500</v>
      </c>
      <c r="M71" t="s">
        <v>17</v>
      </c>
    </row>
    <row r="72" spans="1:13" x14ac:dyDescent="0.25">
      <c r="A72">
        <v>71</v>
      </c>
      <c r="B72" t="s">
        <v>13</v>
      </c>
      <c r="C72">
        <v>33</v>
      </c>
      <c r="D72" t="s">
        <v>18</v>
      </c>
      <c r="E72">
        <v>6.1</v>
      </c>
      <c r="F72">
        <v>6</v>
      </c>
      <c r="G72">
        <v>30</v>
      </c>
      <c r="H72">
        <v>8</v>
      </c>
      <c r="I72" t="s">
        <v>19</v>
      </c>
      <c r="J72" t="s">
        <v>20</v>
      </c>
      <c r="K72">
        <v>72</v>
      </c>
      <c r="L72">
        <v>5000</v>
      </c>
      <c r="M72" t="s">
        <v>17</v>
      </c>
    </row>
    <row r="73" spans="1:13" x14ac:dyDescent="0.25">
      <c r="A73">
        <v>72</v>
      </c>
      <c r="B73" t="s">
        <v>13</v>
      </c>
      <c r="C73">
        <v>33</v>
      </c>
      <c r="D73" t="s">
        <v>18</v>
      </c>
      <c r="E73">
        <v>6.1</v>
      </c>
      <c r="F73">
        <v>6</v>
      </c>
      <c r="G73">
        <v>30</v>
      </c>
      <c r="H73">
        <v>8</v>
      </c>
      <c r="I73" t="s">
        <v>19</v>
      </c>
      <c r="J73" t="s">
        <v>20</v>
      </c>
      <c r="K73">
        <v>72</v>
      </c>
      <c r="L73">
        <v>5000</v>
      </c>
      <c r="M73" t="s">
        <v>17</v>
      </c>
    </row>
    <row r="74" spans="1:13" x14ac:dyDescent="0.25">
      <c r="A74">
        <v>73</v>
      </c>
      <c r="B74" t="s">
        <v>13</v>
      </c>
      <c r="C74">
        <v>33</v>
      </c>
      <c r="D74" t="s">
        <v>18</v>
      </c>
      <c r="E74">
        <v>6.1</v>
      </c>
      <c r="F74">
        <v>6</v>
      </c>
      <c r="G74">
        <v>30</v>
      </c>
      <c r="H74">
        <v>8</v>
      </c>
      <c r="I74" t="s">
        <v>19</v>
      </c>
      <c r="J74" t="s">
        <v>20</v>
      </c>
      <c r="K74">
        <v>72</v>
      </c>
      <c r="L74">
        <v>5000</v>
      </c>
      <c r="M74" t="s">
        <v>17</v>
      </c>
    </row>
    <row r="75" spans="1:13" x14ac:dyDescent="0.25">
      <c r="A75">
        <v>74</v>
      </c>
      <c r="B75" t="s">
        <v>13</v>
      </c>
      <c r="C75">
        <v>33</v>
      </c>
      <c r="D75" t="s">
        <v>18</v>
      </c>
      <c r="E75">
        <v>6.1</v>
      </c>
      <c r="F75">
        <v>6</v>
      </c>
      <c r="G75">
        <v>30</v>
      </c>
      <c r="H75">
        <v>8</v>
      </c>
      <c r="I75" t="s">
        <v>19</v>
      </c>
      <c r="J75" t="s">
        <v>20</v>
      </c>
      <c r="K75">
        <v>72</v>
      </c>
      <c r="L75">
        <v>5000</v>
      </c>
      <c r="M75" t="s">
        <v>17</v>
      </c>
    </row>
    <row r="76" spans="1:13" x14ac:dyDescent="0.25">
      <c r="A76">
        <v>75</v>
      </c>
      <c r="B76" t="s">
        <v>13</v>
      </c>
      <c r="C76">
        <v>33</v>
      </c>
      <c r="D76" t="s">
        <v>18</v>
      </c>
      <c r="E76">
        <v>6</v>
      </c>
      <c r="F76">
        <v>6</v>
      </c>
      <c r="G76">
        <v>30</v>
      </c>
      <c r="H76">
        <v>8</v>
      </c>
      <c r="I76" t="s">
        <v>19</v>
      </c>
      <c r="J76" t="s">
        <v>20</v>
      </c>
      <c r="K76">
        <v>72</v>
      </c>
      <c r="L76">
        <v>5000</v>
      </c>
      <c r="M76" t="s">
        <v>17</v>
      </c>
    </row>
    <row r="77" spans="1:13" x14ac:dyDescent="0.25">
      <c r="A77">
        <v>76</v>
      </c>
      <c r="B77" t="s">
        <v>13</v>
      </c>
      <c r="C77">
        <v>33</v>
      </c>
      <c r="D77" t="s">
        <v>18</v>
      </c>
      <c r="E77">
        <v>6</v>
      </c>
      <c r="F77">
        <v>6</v>
      </c>
      <c r="G77">
        <v>30</v>
      </c>
      <c r="H77">
        <v>8</v>
      </c>
      <c r="I77" t="s">
        <v>19</v>
      </c>
      <c r="J77" t="s">
        <v>20</v>
      </c>
      <c r="K77">
        <v>72</v>
      </c>
      <c r="L77">
        <v>5000</v>
      </c>
      <c r="M77" t="s">
        <v>17</v>
      </c>
    </row>
    <row r="78" spans="1:13" x14ac:dyDescent="0.25">
      <c r="A78">
        <v>77</v>
      </c>
      <c r="B78" t="s">
        <v>13</v>
      </c>
      <c r="C78">
        <v>33</v>
      </c>
      <c r="D78" t="s">
        <v>18</v>
      </c>
      <c r="E78">
        <v>6</v>
      </c>
      <c r="F78">
        <v>6</v>
      </c>
      <c r="G78">
        <v>30</v>
      </c>
      <c r="H78">
        <v>8</v>
      </c>
      <c r="I78" t="s">
        <v>19</v>
      </c>
      <c r="J78" t="s">
        <v>20</v>
      </c>
      <c r="K78">
        <v>72</v>
      </c>
      <c r="L78">
        <v>5000</v>
      </c>
      <c r="M78" t="s">
        <v>17</v>
      </c>
    </row>
    <row r="79" spans="1:13" x14ac:dyDescent="0.25">
      <c r="A79">
        <v>78</v>
      </c>
      <c r="B79" t="s">
        <v>13</v>
      </c>
      <c r="C79">
        <v>33</v>
      </c>
      <c r="D79" t="s">
        <v>18</v>
      </c>
      <c r="E79">
        <v>6</v>
      </c>
      <c r="F79">
        <v>6</v>
      </c>
      <c r="G79">
        <v>30</v>
      </c>
      <c r="H79">
        <v>8</v>
      </c>
      <c r="I79" t="s">
        <v>19</v>
      </c>
      <c r="J79" t="s">
        <v>20</v>
      </c>
      <c r="K79">
        <v>72</v>
      </c>
      <c r="L79">
        <v>5000</v>
      </c>
      <c r="M79" t="s">
        <v>17</v>
      </c>
    </row>
    <row r="80" spans="1:13" x14ac:dyDescent="0.25">
      <c r="A80">
        <v>79</v>
      </c>
      <c r="B80" t="s">
        <v>13</v>
      </c>
      <c r="C80">
        <v>33</v>
      </c>
      <c r="D80" t="s">
        <v>18</v>
      </c>
      <c r="E80">
        <v>6</v>
      </c>
      <c r="F80">
        <v>6</v>
      </c>
      <c r="G80">
        <v>30</v>
      </c>
      <c r="H80">
        <v>8</v>
      </c>
      <c r="I80" t="s">
        <v>19</v>
      </c>
      <c r="J80" t="s">
        <v>20</v>
      </c>
      <c r="K80">
        <v>72</v>
      </c>
      <c r="L80">
        <v>5000</v>
      </c>
      <c r="M80" t="s">
        <v>17</v>
      </c>
    </row>
    <row r="81" spans="1:13" x14ac:dyDescent="0.25">
      <c r="A81">
        <v>80</v>
      </c>
      <c r="B81" t="s">
        <v>13</v>
      </c>
      <c r="C81">
        <v>33</v>
      </c>
      <c r="D81" t="s">
        <v>18</v>
      </c>
      <c r="E81">
        <v>6</v>
      </c>
      <c r="F81">
        <v>6</v>
      </c>
      <c r="G81">
        <v>30</v>
      </c>
      <c r="H81">
        <v>8</v>
      </c>
      <c r="I81" t="s">
        <v>19</v>
      </c>
      <c r="J81" t="s">
        <v>20</v>
      </c>
      <c r="K81">
        <v>72</v>
      </c>
      <c r="L81">
        <v>5000</v>
      </c>
      <c r="M81" t="s">
        <v>17</v>
      </c>
    </row>
    <row r="82" spans="1:13" x14ac:dyDescent="0.25">
      <c r="A82">
        <v>81</v>
      </c>
      <c r="B82" t="s">
        <v>28</v>
      </c>
      <c r="C82">
        <v>34</v>
      </c>
      <c r="D82" t="s">
        <v>37</v>
      </c>
      <c r="E82">
        <v>5.8</v>
      </c>
      <c r="F82">
        <v>4</v>
      </c>
      <c r="G82">
        <v>32</v>
      </c>
      <c r="H82">
        <v>8</v>
      </c>
      <c r="I82" t="s">
        <v>15</v>
      </c>
      <c r="J82" t="s">
        <v>39</v>
      </c>
      <c r="K82">
        <v>81</v>
      </c>
      <c r="L82">
        <v>5200</v>
      </c>
      <c r="M82" t="s">
        <v>24</v>
      </c>
    </row>
    <row r="83" spans="1:13" x14ac:dyDescent="0.25">
      <c r="A83">
        <v>82</v>
      </c>
      <c r="B83" t="s">
        <v>28</v>
      </c>
      <c r="C83">
        <v>34</v>
      </c>
      <c r="D83" t="s">
        <v>37</v>
      </c>
      <c r="E83">
        <v>5.8</v>
      </c>
      <c r="F83">
        <v>4</v>
      </c>
      <c r="G83">
        <v>32</v>
      </c>
      <c r="H83">
        <v>8</v>
      </c>
      <c r="I83" t="s">
        <v>15</v>
      </c>
      <c r="J83" t="s">
        <v>39</v>
      </c>
      <c r="K83">
        <v>81</v>
      </c>
      <c r="L83">
        <v>5200</v>
      </c>
      <c r="M83" t="s">
        <v>24</v>
      </c>
    </row>
    <row r="84" spans="1:13" x14ac:dyDescent="0.25">
      <c r="A84">
        <v>83</v>
      </c>
      <c r="B84" t="s">
        <v>13</v>
      </c>
      <c r="C84">
        <v>35</v>
      </c>
      <c r="D84" t="s">
        <v>26</v>
      </c>
      <c r="E84">
        <v>6.7</v>
      </c>
      <c r="F84">
        <v>7</v>
      </c>
      <c r="G84">
        <v>40</v>
      </c>
      <c r="H84">
        <v>5</v>
      </c>
      <c r="I84" t="s">
        <v>15</v>
      </c>
      <c r="J84" t="s">
        <v>40</v>
      </c>
      <c r="K84">
        <v>70</v>
      </c>
      <c r="L84">
        <v>5600</v>
      </c>
      <c r="M84" t="s">
        <v>17</v>
      </c>
    </row>
    <row r="85" spans="1:13" x14ac:dyDescent="0.25">
      <c r="A85">
        <v>84</v>
      </c>
      <c r="B85" t="s">
        <v>13</v>
      </c>
      <c r="C85">
        <v>35</v>
      </c>
      <c r="D85" t="s">
        <v>26</v>
      </c>
      <c r="E85">
        <v>6.7</v>
      </c>
      <c r="F85">
        <v>7</v>
      </c>
      <c r="G85">
        <v>40</v>
      </c>
      <c r="H85">
        <v>5</v>
      </c>
      <c r="I85" t="s">
        <v>15</v>
      </c>
      <c r="J85" t="s">
        <v>40</v>
      </c>
      <c r="K85">
        <v>70</v>
      </c>
      <c r="L85">
        <v>5600</v>
      </c>
      <c r="M85" t="s">
        <v>17</v>
      </c>
    </row>
    <row r="86" spans="1:13" x14ac:dyDescent="0.25">
      <c r="A86">
        <v>85</v>
      </c>
      <c r="B86" t="s">
        <v>13</v>
      </c>
      <c r="C86">
        <v>35</v>
      </c>
      <c r="D86" t="s">
        <v>14</v>
      </c>
      <c r="E86">
        <v>7.5</v>
      </c>
      <c r="F86">
        <v>8</v>
      </c>
      <c r="G86">
        <v>60</v>
      </c>
      <c r="H86">
        <v>5</v>
      </c>
      <c r="I86" t="s">
        <v>30</v>
      </c>
      <c r="J86" t="s">
        <v>27</v>
      </c>
      <c r="K86">
        <v>70</v>
      </c>
      <c r="L86">
        <v>8000</v>
      </c>
      <c r="M86" t="s">
        <v>17</v>
      </c>
    </row>
    <row r="87" spans="1:13" x14ac:dyDescent="0.25">
      <c r="A87">
        <v>86</v>
      </c>
      <c r="B87" t="s">
        <v>28</v>
      </c>
      <c r="C87">
        <v>35</v>
      </c>
      <c r="D87" t="s">
        <v>35</v>
      </c>
      <c r="E87">
        <v>7.2</v>
      </c>
      <c r="F87">
        <v>8</v>
      </c>
      <c r="G87">
        <v>60</v>
      </c>
      <c r="H87">
        <v>4</v>
      </c>
      <c r="I87" t="s">
        <v>19</v>
      </c>
      <c r="J87" t="s">
        <v>41</v>
      </c>
      <c r="K87">
        <v>68</v>
      </c>
      <c r="L87">
        <v>7000</v>
      </c>
      <c r="M87" t="s">
        <v>17</v>
      </c>
    </row>
    <row r="88" spans="1:13" x14ac:dyDescent="0.25">
      <c r="A88">
        <v>87</v>
      </c>
      <c r="B88" t="s">
        <v>13</v>
      </c>
      <c r="C88">
        <v>35</v>
      </c>
      <c r="D88" t="s">
        <v>34</v>
      </c>
      <c r="E88">
        <v>7.2</v>
      </c>
      <c r="F88">
        <v>8</v>
      </c>
      <c r="G88">
        <v>60</v>
      </c>
      <c r="H88">
        <v>4</v>
      </c>
      <c r="I88" t="s">
        <v>19</v>
      </c>
      <c r="J88" t="s">
        <v>20</v>
      </c>
      <c r="K88">
        <v>65</v>
      </c>
      <c r="L88">
        <v>5000</v>
      </c>
      <c r="M88" t="s">
        <v>17</v>
      </c>
    </row>
    <row r="89" spans="1:13" x14ac:dyDescent="0.25">
      <c r="A89">
        <v>88</v>
      </c>
      <c r="B89" t="s">
        <v>13</v>
      </c>
      <c r="C89">
        <v>35</v>
      </c>
      <c r="D89" t="s">
        <v>34</v>
      </c>
      <c r="E89">
        <v>7.2</v>
      </c>
      <c r="F89">
        <v>8</v>
      </c>
      <c r="G89">
        <v>60</v>
      </c>
      <c r="H89">
        <v>4</v>
      </c>
      <c r="I89" t="s">
        <v>19</v>
      </c>
      <c r="J89" t="s">
        <v>20</v>
      </c>
      <c r="K89">
        <v>65</v>
      </c>
      <c r="L89">
        <v>5000</v>
      </c>
      <c r="M89" t="s">
        <v>17</v>
      </c>
    </row>
    <row r="90" spans="1:13" x14ac:dyDescent="0.25">
      <c r="A90">
        <v>89</v>
      </c>
      <c r="B90" t="s">
        <v>13</v>
      </c>
      <c r="C90">
        <v>35</v>
      </c>
      <c r="D90" t="s">
        <v>34</v>
      </c>
      <c r="E90">
        <v>7.3</v>
      </c>
      <c r="F90">
        <v>8</v>
      </c>
      <c r="G90">
        <v>60</v>
      </c>
      <c r="H90">
        <v>4</v>
      </c>
      <c r="I90" t="s">
        <v>19</v>
      </c>
      <c r="J90" t="s">
        <v>20</v>
      </c>
      <c r="K90">
        <v>65</v>
      </c>
      <c r="L90">
        <v>5000</v>
      </c>
      <c r="M90" t="s">
        <v>17</v>
      </c>
    </row>
    <row r="91" spans="1:13" x14ac:dyDescent="0.25">
      <c r="A91">
        <v>90</v>
      </c>
      <c r="B91" t="s">
        <v>13</v>
      </c>
      <c r="C91">
        <v>35</v>
      </c>
      <c r="D91" t="s">
        <v>34</v>
      </c>
      <c r="E91">
        <v>7.3</v>
      </c>
      <c r="F91">
        <v>8</v>
      </c>
      <c r="G91">
        <v>60</v>
      </c>
      <c r="H91">
        <v>4</v>
      </c>
      <c r="I91" t="s">
        <v>19</v>
      </c>
      <c r="J91" t="s">
        <v>20</v>
      </c>
      <c r="K91">
        <v>65</v>
      </c>
      <c r="L91">
        <v>5000</v>
      </c>
      <c r="M91" t="s">
        <v>17</v>
      </c>
    </row>
    <row r="92" spans="1:13" x14ac:dyDescent="0.25">
      <c r="A92">
        <v>91</v>
      </c>
      <c r="B92" t="s">
        <v>13</v>
      </c>
      <c r="C92">
        <v>35</v>
      </c>
      <c r="D92" t="s">
        <v>34</v>
      </c>
      <c r="E92">
        <v>7.3</v>
      </c>
      <c r="F92">
        <v>8</v>
      </c>
      <c r="G92">
        <v>60</v>
      </c>
      <c r="H92">
        <v>4</v>
      </c>
      <c r="I92" t="s">
        <v>19</v>
      </c>
      <c r="J92" t="s">
        <v>20</v>
      </c>
      <c r="K92">
        <v>65</v>
      </c>
      <c r="L92">
        <v>5000</v>
      </c>
      <c r="M92" t="s">
        <v>17</v>
      </c>
    </row>
    <row r="93" spans="1:13" x14ac:dyDescent="0.25">
      <c r="A93">
        <v>92</v>
      </c>
      <c r="B93" t="s">
        <v>13</v>
      </c>
      <c r="C93">
        <v>35</v>
      </c>
      <c r="D93" t="s">
        <v>34</v>
      </c>
      <c r="E93">
        <v>7.3</v>
      </c>
      <c r="F93">
        <v>8</v>
      </c>
      <c r="G93">
        <v>60</v>
      </c>
      <c r="H93">
        <v>4</v>
      </c>
      <c r="I93" t="s">
        <v>19</v>
      </c>
      <c r="J93" t="s">
        <v>20</v>
      </c>
      <c r="K93">
        <v>65</v>
      </c>
      <c r="L93">
        <v>5000</v>
      </c>
      <c r="M93" t="s">
        <v>17</v>
      </c>
    </row>
    <row r="94" spans="1:13" x14ac:dyDescent="0.25">
      <c r="A94">
        <v>93</v>
      </c>
      <c r="B94" t="s">
        <v>13</v>
      </c>
      <c r="C94">
        <v>35</v>
      </c>
      <c r="D94" t="s">
        <v>14</v>
      </c>
      <c r="E94">
        <v>7.5</v>
      </c>
      <c r="F94">
        <v>8</v>
      </c>
      <c r="G94">
        <v>60</v>
      </c>
      <c r="H94">
        <v>5</v>
      </c>
      <c r="I94" t="s">
        <v>30</v>
      </c>
      <c r="J94" t="s">
        <v>27</v>
      </c>
      <c r="K94">
        <v>70</v>
      </c>
      <c r="L94">
        <v>8000</v>
      </c>
      <c r="M94" t="s">
        <v>17</v>
      </c>
    </row>
    <row r="95" spans="1:13" x14ac:dyDescent="0.25">
      <c r="A95">
        <v>94</v>
      </c>
      <c r="B95" t="s">
        <v>13</v>
      </c>
      <c r="C95">
        <v>35</v>
      </c>
      <c r="D95" t="s">
        <v>42</v>
      </c>
      <c r="E95">
        <v>7.4</v>
      </c>
      <c r="F95">
        <v>7</v>
      </c>
      <c r="G95">
        <v>60</v>
      </c>
      <c r="H95">
        <v>5</v>
      </c>
      <c r="I95" t="s">
        <v>22</v>
      </c>
      <c r="J95" t="s">
        <v>43</v>
      </c>
      <c r="K95">
        <v>84</v>
      </c>
      <c r="L95">
        <v>3300</v>
      </c>
      <c r="M95" t="s">
        <v>24</v>
      </c>
    </row>
    <row r="96" spans="1:13" x14ac:dyDescent="0.25">
      <c r="A96">
        <v>95</v>
      </c>
      <c r="B96" t="s">
        <v>28</v>
      </c>
      <c r="C96">
        <v>36</v>
      </c>
      <c r="D96" t="s">
        <v>35</v>
      </c>
      <c r="E96">
        <v>7.2</v>
      </c>
      <c r="F96">
        <v>8</v>
      </c>
      <c r="G96">
        <v>60</v>
      </c>
      <c r="H96">
        <v>4</v>
      </c>
      <c r="I96" t="s">
        <v>19</v>
      </c>
      <c r="J96" t="s">
        <v>41</v>
      </c>
      <c r="K96">
        <v>68</v>
      </c>
      <c r="L96">
        <v>7000</v>
      </c>
      <c r="M96" t="s">
        <v>25</v>
      </c>
    </row>
    <row r="97" spans="1:13" x14ac:dyDescent="0.25">
      <c r="A97">
        <v>96</v>
      </c>
      <c r="B97" t="s">
        <v>28</v>
      </c>
      <c r="C97">
        <v>36</v>
      </c>
      <c r="D97" t="s">
        <v>35</v>
      </c>
      <c r="E97">
        <v>7.1</v>
      </c>
      <c r="F97">
        <v>8</v>
      </c>
      <c r="G97">
        <v>60</v>
      </c>
      <c r="H97">
        <v>4</v>
      </c>
      <c r="I97" t="s">
        <v>19</v>
      </c>
      <c r="J97" t="s">
        <v>41</v>
      </c>
      <c r="K97">
        <v>68</v>
      </c>
      <c r="L97">
        <v>7000</v>
      </c>
      <c r="M97" t="s">
        <v>17</v>
      </c>
    </row>
    <row r="98" spans="1:13" x14ac:dyDescent="0.25">
      <c r="A98">
        <v>97</v>
      </c>
      <c r="B98" t="s">
        <v>28</v>
      </c>
      <c r="C98">
        <v>36</v>
      </c>
      <c r="D98" t="s">
        <v>35</v>
      </c>
      <c r="E98">
        <v>7.2</v>
      </c>
      <c r="F98">
        <v>8</v>
      </c>
      <c r="G98">
        <v>60</v>
      </c>
      <c r="H98">
        <v>4</v>
      </c>
      <c r="I98" t="s">
        <v>19</v>
      </c>
      <c r="J98" t="s">
        <v>41</v>
      </c>
      <c r="K98">
        <v>68</v>
      </c>
      <c r="L98">
        <v>7000</v>
      </c>
      <c r="M98" t="s">
        <v>17</v>
      </c>
    </row>
    <row r="99" spans="1:13" x14ac:dyDescent="0.25">
      <c r="A99">
        <v>98</v>
      </c>
      <c r="B99" t="s">
        <v>28</v>
      </c>
      <c r="C99">
        <v>36</v>
      </c>
      <c r="D99" t="s">
        <v>35</v>
      </c>
      <c r="E99">
        <v>7.1</v>
      </c>
      <c r="F99">
        <v>8</v>
      </c>
      <c r="G99">
        <v>60</v>
      </c>
      <c r="H99">
        <v>4</v>
      </c>
      <c r="I99" t="s">
        <v>19</v>
      </c>
      <c r="J99" t="s">
        <v>41</v>
      </c>
      <c r="K99">
        <v>68</v>
      </c>
      <c r="L99">
        <v>7000</v>
      </c>
      <c r="M99" t="s">
        <v>17</v>
      </c>
    </row>
    <row r="100" spans="1:13" x14ac:dyDescent="0.25">
      <c r="A100">
        <v>99</v>
      </c>
      <c r="B100" t="s">
        <v>28</v>
      </c>
      <c r="C100">
        <v>36</v>
      </c>
      <c r="D100" t="s">
        <v>26</v>
      </c>
      <c r="E100">
        <v>7.1</v>
      </c>
      <c r="F100">
        <v>8</v>
      </c>
      <c r="G100">
        <v>60</v>
      </c>
      <c r="H100">
        <v>4</v>
      </c>
      <c r="I100" t="s">
        <v>19</v>
      </c>
      <c r="J100" t="s">
        <v>41</v>
      </c>
      <c r="K100">
        <v>68</v>
      </c>
      <c r="L100">
        <v>7000</v>
      </c>
      <c r="M100" t="s">
        <v>17</v>
      </c>
    </row>
    <row r="101" spans="1:13" x14ac:dyDescent="0.25">
      <c r="A101">
        <v>100</v>
      </c>
      <c r="B101" t="s">
        <v>28</v>
      </c>
      <c r="C101">
        <v>36</v>
      </c>
      <c r="D101" t="s">
        <v>26</v>
      </c>
      <c r="E101">
        <v>7.1</v>
      </c>
      <c r="F101">
        <v>8</v>
      </c>
      <c r="G101">
        <v>60</v>
      </c>
      <c r="H101">
        <v>4</v>
      </c>
      <c r="I101" t="s">
        <v>19</v>
      </c>
      <c r="J101" t="s">
        <v>41</v>
      </c>
      <c r="K101">
        <v>68</v>
      </c>
      <c r="L101">
        <v>7000</v>
      </c>
      <c r="M101" t="s">
        <v>17</v>
      </c>
    </row>
    <row r="102" spans="1:13" x14ac:dyDescent="0.25">
      <c r="A102">
        <v>101</v>
      </c>
      <c r="B102" t="s">
        <v>28</v>
      </c>
      <c r="C102">
        <v>36</v>
      </c>
      <c r="D102" t="s">
        <v>26</v>
      </c>
      <c r="E102">
        <v>7.2</v>
      </c>
      <c r="F102">
        <v>8</v>
      </c>
      <c r="G102">
        <v>60</v>
      </c>
      <c r="H102">
        <v>4</v>
      </c>
      <c r="I102" t="s">
        <v>19</v>
      </c>
      <c r="J102" t="s">
        <v>41</v>
      </c>
      <c r="K102">
        <v>68</v>
      </c>
      <c r="L102">
        <v>7000</v>
      </c>
      <c r="M102" t="s">
        <v>17</v>
      </c>
    </row>
    <row r="103" spans="1:13" x14ac:dyDescent="0.25">
      <c r="A103">
        <v>102</v>
      </c>
      <c r="B103" t="s">
        <v>28</v>
      </c>
      <c r="C103">
        <v>36</v>
      </c>
      <c r="D103" t="s">
        <v>26</v>
      </c>
      <c r="E103">
        <v>7.2</v>
      </c>
      <c r="F103">
        <v>8</v>
      </c>
      <c r="G103">
        <v>60</v>
      </c>
      <c r="H103">
        <v>4</v>
      </c>
      <c r="I103" t="s">
        <v>19</v>
      </c>
      <c r="J103" t="s">
        <v>41</v>
      </c>
      <c r="K103">
        <v>68</v>
      </c>
      <c r="L103">
        <v>7000</v>
      </c>
      <c r="M103" t="s">
        <v>17</v>
      </c>
    </row>
    <row r="104" spans="1:13" x14ac:dyDescent="0.25">
      <c r="A104">
        <v>103</v>
      </c>
      <c r="B104" t="s">
        <v>28</v>
      </c>
      <c r="C104">
        <v>36</v>
      </c>
      <c r="D104" t="s">
        <v>26</v>
      </c>
      <c r="E104">
        <v>7.2</v>
      </c>
      <c r="F104">
        <v>8</v>
      </c>
      <c r="G104">
        <v>60</v>
      </c>
      <c r="H104">
        <v>4</v>
      </c>
      <c r="I104" t="s">
        <v>19</v>
      </c>
      <c r="J104" t="s">
        <v>41</v>
      </c>
      <c r="K104">
        <v>68</v>
      </c>
      <c r="L104">
        <v>7000</v>
      </c>
      <c r="M104" t="s">
        <v>17</v>
      </c>
    </row>
    <row r="105" spans="1:13" x14ac:dyDescent="0.25">
      <c r="A105">
        <v>104</v>
      </c>
      <c r="B105" t="s">
        <v>13</v>
      </c>
      <c r="C105">
        <v>36</v>
      </c>
      <c r="D105" t="s">
        <v>26</v>
      </c>
      <c r="E105">
        <v>6.6</v>
      </c>
      <c r="F105">
        <v>5</v>
      </c>
      <c r="G105">
        <v>35</v>
      </c>
      <c r="H105">
        <v>7</v>
      </c>
      <c r="I105" t="s">
        <v>15</v>
      </c>
      <c r="J105" t="s">
        <v>44</v>
      </c>
      <c r="K105">
        <v>74</v>
      </c>
      <c r="L105">
        <v>4800</v>
      </c>
      <c r="M105" t="s">
        <v>24</v>
      </c>
    </row>
    <row r="106" spans="1:13" x14ac:dyDescent="0.25">
      <c r="A106">
        <v>105</v>
      </c>
      <c r="B106" t="s">
        <v>28</v>
      </c>
      <c r="C106">
        <v>36</v>
      </c>
      <c r="D106" t="s">
        <v>26</v>
      </c>
      <c r="E106">
        <v>7.2</v>
      </c>
      <c r="F106">
        <v>8</v>
      </c>
      <c r="G106">
        <v>60</v>
      </c>
      <c r="H106">
        <v>4</v>
      </c>
      <c r="I106" t="s">
        <v>19</v>
      </c>
      <c r="J106" t="s">
        <v>41</v>
      </c>
      <c r="K106">
        <v>68</v>
      </c>
      <c r="L106">
        <v>7000</v>
      </c>
      <c r="M106" t="s">
        <v>24</v>
      </c>
    </row>
    <row r="107" spans="1:13" x14ac:dyDescent="0.25">
      <c r="A107">
        <v>106</v>
      </c>
      <c r="B107" t="s">
        <v>13</v>
      </c>
      <c r="C107">
        <v>36</v>
      </c>
      <c r="D107" t="s">
        <v>26</v>
      </c>
      <c r="E107">
        <v>6.6</v>
      </c>
      <c r="F107">
        <v>5</v>
      </c>
      <c r="G107">
        <v>35</v>
      </c>
      <c r="H107">
        <v>7</v>
      </c>
      <c r="I107" t="s">
        <v>15</v>
      </c>
      <c r="J107" t="s">
        <v>44</v>
      </c>
      <c r="K107">
        <v>74</v>
      </c>
      <c r="L107">
        <v>4800</v>
      </c>
      <c r="M107" t="s">
        <v>25</v>
      </c>
    </row>
    <row r="108" spans="1:13" x14ac:dyDescent="0.25">
      <c r="A108">
        <v>107</v>
      </c>
      <c r="B108" t="s">
        <v>28</v>
      </c>
      <c r="C108">
        <v>37</v>
      </c>
      <c r="D108" t="s">
        <v>29</v>
      </c>
      <c r="E108">
        <v>6.1</v>
      </c>
      <c r="F108">
        <v>6</v>
      </c>
      <c r="G108">
        <v>42</v>
      </c>
      <c r="H108">
        <v>6</v>
      </c>
      <c r="I108" t="s">
        <v>15</v>
      </c>
      <c r="J108" t="s">
        <v>16</v>
      </c>
      <c r="K108">
        <v>77</v>
      </c>
      <c r="L108">
        <v>4200</v>
      </c>
      <c r="M108" t="s">
        <v>17</v>
      </c>
    </row>
    <row r="109" spans="1:13" x14ac:dyDescent="0.25">
      <c r="A109">
        <v>108</v>
      </c>
      <c r="B109" t="s">
        <v>13</v>
      </c>
      <c r="C109">
        <v>37</v>
      </c>
      <c r="D109" t="s">
        <v>34</v>
      </c>
      <c r="E109">
        <v>7.8</v>
      </c>
      <c r="F109">
        <v>8</v>
      </c>
      <c r="G109">
        <v>70</v>
      </c>
      <c r="H109">
        <v>4</v>
      </c>
      <c r="I109" t="s">
        <v>30</v>
      </c>
      <c r="J109" t="s">
        <v>27</v>
      </c>
      <c r="K109">
        <v>68</v>
      </c>
      <c r="L109">
        <v>7000</v>
      </c>
      <c r="M109" t="s">
        <v>17</v>
      </c>
    </row>
    <row r="110" spans="1:13" x14ac:dyDescent="0.25">
      <c r="A110">
        <v>109</v>
      </c>
      <c r="B110" t="s">
        <v>13</v>
      </c>
      <c r="C110">
        <v>37</v>
      </c>
      <c r="D110" t="s">
        <v>34</v>
      </c>
      <c r="E110">
        <v>7.8</v>
      </c>
      <c r="F110">
        <v>8</v>
      </c>
      <c r="G110">
        <v>70</v>
      </c>
      <c r="H110">
        <v>4</v>
      </c>
      <c r="I110" t="s">
        <v>30</v>
      </c>
      <c r="J110" t="s">
        <v>27</v>
      </c>
      <c r="K110">
        <v>68</v>
      </c>
      <c r="L110">
        <v>7000</v>
      </c>
      <c r="M110" t="s">
        <v>17</v>
      </c>
    </row>
    <row r="111" spans="1:13" x14ac:dyDescent="0.25">
      <c r="A111">
        <v>110</v>
      </c>
      <c r="B111" t="s">
        <v>13</v>
      </c>
      <c r="C111">
        <v>37</v>
      </c>
      <c r="D111" t="s">
        <v>42</v>
      </c>
      <c r="E111">
        <v>7.4</v>
      </c>
      <c r="F111">
        <v>8</v>
      </c>
      <c r="G111">
        <v>60</v>
      </c>
      <c r="H111">
        <v>5</v>
      </c>
      <c r="I111" t="s">
        <v>19</v>
      </c>
      <c r="J111" t="s">
        <v>45</v>
      </c>
      <c r="K111">
        <v>68</v>
      </c>
      <c r="L111">
        <v>8000</v>
      </c>
      <c r="M111" t="s">
        <v>17</v>
      </c>
    </row>
    <row r="112" spans="1:13" x14ac:dyDescent="0.25">
      <c r="A112">
        <v>111</v>
      </c>
      <c r="B112" t="s">
        <v>28</v>
      </c>
      <c r="C112">
        <v>37</v>
      </c>
      <c r="D112" t="s">
        <v>35</v>
      </c>
      <c r="E112">
        <v>7.2</v>
      </c>
      <c r="F112">
        <v>8</v>
      </c>
      <c r="G112">
        <v>60</v>
      </c>
      <c r="H112">
        <v>4</v>
      </c>
      <c r="I112" t="s">
        <v>19</v>
      </c>
      <c r="J112" t="s">
        <v>41</v>
      </c>
      <c r="K112">
        <v>68</v>
      </c>
      <c r="L112">
        <v>7000</v>
      </c>
      <c r="M112" t="s">
        <v>17</v>
      </c>
    </row>
    <row r="113" spans="1:13" x14ac:dyDescent="0.25">
      <c r="A113">
        <v>112</v>
      </c>
      <c r="B113" t="s">
        <v>13</v>
      </c>
      <c r="C113">
        <v>37</v>
      </c>
      <c r="D113" t="s">
        <v>42</v>
      </c>
      <c r="E113">
        <v>7.4</v>
      </c>
      <c r="F113">
        <v>8</v>
      </c>
      <c r="G113">
        <v>60</v>
      </c>
      <c r="H113">
        <v>5</v>
      </c>
      <c r="I113" t="s">
        <v>19</v>
      </c>
      <c r="J113" t="s">
        <v>45</v>
      </c>
      <c r="K113">
        <v>68</v>
      </c>
      <c r="L113">
        <v>8000</v>
      </c>
      <c r="M113" t="s">
        <v>17</v>
      </c>
    </row>
    <row r="114" spans="1:13" x14ac:dyDescent="0.25">
      <c r="A114">
        <v>113</v>
      </c>
      <c r="B114" t="s">
        <v>28</v>
      </c>
      <c r="C114">
        <v>37</v>
      </c>
      <c r="D114" t="s">
        <v>35</v>
      </c>
      <c r="E114">
        <v>7.2</v>
      </c>
      <c r="F114">
        <v>8</v>
      </c>
      <c r="G114">
        <v>60</v>
      </c>
      <c r="H114">
        <v>4</v>
      </c>
      <c r="I114" t="s">
        <v>19</v>
      </c>
      <c r="J114" t="s">
        <v>41</v>
      </c>
      <c r="K114">
        <v>68</v>
      </c>
      <c r="L114">
        <v>7000</v>
      </c>
      <c r="M114" t="s">
        <v>17</v>
      </c>
    </row>
    <row r="115" spans="1:13" x14ac:dyDescent="0.25">
      <c r="A115">
        <v>114</v>
      </c>
      <c r="B115" t="s">
        <v>13</v>
      </c>
      <c r="C115">
        <v>37</v>
      </c>
      <c r="D115" t="s">
        <v>42</v>
      </c>
      <c r="E115">
        <v>7.4</v>
      </c>
      <c r="F115">
        <v>8</v>
      </c>
      <c r="G115">
        <v>60</v>
      </c>
      <c r="H115">
        <v>5</v>
      </c>
      <c r="I115" t="s">
        <v>19</v>
      </c>
      <c r="J115" t="s">
        <v>45</v>
      </c>
      <c r="K115">
        <v>68</v>
      </c>
      <c r="L115">
        <v>8000</v>
      </c>
      <c r="M115" t="s">
        <v>17</v>
      </c>
    </row>
    <row r="116" spans="1:13" x14ac:dyDescent="0.25">
      <c r="A116">
        <v>115</v>
      </c>
      <c r="B116" t="s">
        <v>28</v>
      </c>
      <c r="C116">
        <v>37</v>
      </c>
      <c r="D116" t="s">
        <v>35</v>
      </c>
      <c r="E116">
        <v>7.2</v>
      </c>
      <c r="F116">
        <v>8</v>
      </c>
      <c r="G116">
        <v>60</v>
      </c>
      <c r="H116">
        <v>4</v>
      </c>
      <c r="I116" t="s">
        <v>19</v>
      </c>
      <c r="J116" t="s">
        <v>41</v>
      </c>
      <c r="K116">
        <v>68</v>
      </c>
      <c r="L116">
        <v>7000</v>
      </c>
      <c r="M116" t="s">
        <v>17</v>
      </c>
    </row>
    <row r="117" spans="1:13" x14ac:dyDescent="0.25">
      <c r="A117">
        <v>116</v>
      </c>
      <c r="B117" t="s">
        <v>28</v>
      </c>
      <c r="C117">
        <v>37</v>
      </c>
      <c r="D117" t="s">
        <v>35</v>
      </c>
      <c r="E117">
        <v>7.2</v>
      </c>
      <c r="F117">
        <v>8</v>
      </c>
      <c r="G117">
        <v>60</v>
      </c>
      <c r="H117">
        <v>4</v>
      </c>
      <c r="I117" t="s">
        <v>19</v>
      </c>
      <c r="J117" t="s">
        <v>41</v>
      </c>
      <c r="K117">
        <v>68</v>
      </c>
      <c r="L117">
        <v>7000</v>
      </c>
      <c r="M117" t="s">
        <v>17</v>
      </c>
    </row>
    <row r="118" spans="1:13" x14ac:dyDescent="0.25">
      <c r="A118">
        <v>117</v>
      </c>
      <c r="B118" t="s">
        <v>28</v>
      </c>
      <c r="C118">
        <v>37</v>
      </c>
      <c r="D118" t="s">
        <v>35</v>
      </c>
      <c r="E118">
        <v>7.2</v>
      </c>
      <c r="F118">
        <v>8</v>
      </c>
      <c r="G118">
        <v>60</v>
      </c>
      <c r="H118">
        <v>4</v>
      </c>
      <c r="I118" t="s">
        <v>19</v>
      </c>
      <c r="J118" t="s">
        <v>41</v>
      </c>
      <c r="K118">
        <v>68</v>
      </c>
      <c r="L118">
        <v>7000</v>
      </c>
      <c r="M118" t="s">
        <v>17</v>
      </c>
    </row>
    <row r="119" spans="1:13" x14ac:dyDescent="0.25">
      <c r="A119">
        <v>118</v>
      </c>
      <c r="B119" t="s">
        <v>28</v>
      </c>
      <c r="C119">
        <v>37</v>
      </c>
      <c r="D119" t="s">
        <v>35</v>
      </c>
      <c r="E119">
        <v>7.2</v>
      </c>
      <c r="F119">
        <v>8</v>
      </c>
      <c r="G119">
        <v>60</v>
      </c>
      <c r="H119">
        <v>4</v>
      </c>
      <c r="I119" t="s">
        <v>19</v>
      </c>
      <c r="J119" t="s">
        <v>41</v>
      </c>
      <c r="K119">
        <v>68</v>
      </c>
      <c r="L119">
        <v>7000</v>
      </c>
      <c r="M119" t="s">
        <v>17</v>
      </c>
    </row>
    <row r="120" spans="1:13" x14ac:dyDescent="0.25">
      <c r="A120">
        <v>119</v>
      </c>
      <c r="B120" t="s">
        <v>28</v>
      </c>
      <c r="C120">
        <v>37</v>
      </c>
      <c r="D120" t="s">
        <v>35</v>
      </c>
      <c r="E120">
        <v>7.2</v>
      </c>
      <c r="F120">
        <v>8</v>
      </c>
      <c r="G120">
        <v>60</v>
      </c>
      <c r="H120">
        <v>4</v>
      </c>
      <c r="I120" t="s">
        <v>19</v>
      </c>
      <c r="J120" t="s">
        <v>41</v>
      </c>
      <c r="K120">
        <v>68</v>
      </c>
      <c r="L120">
        <v>7000</v>
      </c>
      <c r="M120" t="s">
        <v>17</v>
      </c>
    </row>
    <row r="121" spans="1:13" x14ac:dyDescent="0.25">
      <c r="A121">
        <v>120</v>
      </c>
      <c r="B121" t="s">
        <v>28</v>
      </c>
      <c r="C121">
        <v>37</v>
      </c>
      <c r="D121" t="s">
        <v>35</v>
      </c>
      <c r="E121">
        <v>7.2</v>
      </c>
      <c r="F121">
        <v>8</v>
      </c>
      <c r="G121">
        <v>60</v>
      </c>
      <c r="H121">
        <v>4</v>
      </c>
      <c r="I121" t="s">
        <v>19</v>
      </c>
      <c r="J121" t="s">
        <v>41</v>
      </c>
      <c r="K121">
        <v>68</v>
      </c>
      <c r="L121">
        <v>7000</v>
      </c>
      <c r="M121" t="s">
        <v>17</v>
      </c>
    </row>
    <row r="122" spans="1:13" x14ac:dyDescent="0.25">
      <c r="A122">
        <v>121</v>
      </c>
      <c r="B122" t="s">
        <v>28</v>
      </c>
      <c r="C122">
        <v>37</v>
      </c>
      <c r="D122" t="s">
        <v>35</v>
      </c>
      <c r="E122">
        <v>7.2</v>
      </c>
      <c r="F122">
        <v>8</v>
      </c>
      <c r="G122">
        <v>60</v>
      </c>
      <c r="H122">
        <v>4</v>
      </c>
      <c r="I122" t="s">
        <v>19</v>
      </c>
      <c r="J122" t="s">
        <v>41</v>
      </c>
      <c r="K122">
        <v>68</v>
      </c>
      <c r="L122">
        <v>7000</v>
      </c>
      <c r="M122" t="s">
        <v>17</v>
      </c>
    </row>
    <row r="123" spans="1:13" x14ac:dyDescent="0.25">
      <c r="A123">
        <v>122</v>
      </c>
      <c r="B123" t="s">
        <v>28</v>
      </c>
      <c r="C123">
        <v>37</v>
      </c>
      <c r="D123" t="s">
        <v>35</v>
      </c>
      <c r="E123">
        <v>7.2</v>
      </c>
      <c r="F123">
        <v>8</v>
      </c>
      <c r="G123">
        <v>60</v>
      </c>
      <c r="H123">
        <v>4</v>
      </c>
      <c r="I123" t="s">
        <v>19</v>
      </c>
      <c r="J123" t="s">
        <v>41</v>
      </c>
      <c r="K123">
        <v>68</v>
      </c>
      <c r="L123">
        <v>7000</v>
      </c>
      <c r="M123" t="s">
        <v>17</v>
      </c>
    </row>
    <row r="124" spans="1:13" x14ac:dyDescent="0.25">
      <c r="A124">
        <v>123</v>
      </c>
      <c r="B124" t="s">
        <v>28</v>
      </c>
      <c r="C124">
        <v>37</v>
      </c>
      <c r="D124" t="s">
        <v>35</v>
      </c>
      <c r="E124">
        <v>7.2</v>
      </c>
      <c r="F124">
        <v>8</v>
      </c>
      <c r="G124">
        <v>60</v>
      </c>
      <c r="H124">
        <v>4</v>
      </c>
      <c r="I124" t="s">
        <v>19</v>
      </c>
      <c r="J124" t="s">
        <v>41</v>
      </c>
      <c r="K124">
        <v>68</v>
      </c>
      <c r="L124">
        <v>7000</v>
      </c>
      <c r="M124" t="s">
        <v>17</v>
      </c>
    </row>
    <row r="125" spans="1:13" x14ac:dyDescent="0.25">
      <c r="A125">
        <v>124</v>
      </c>
      <c r="B125" t="s">
        <v>28</v>
      </c>
      <c r="C125">
        <v>37</v>
      </c>
      <c r="D125" t="s">
        <v>35</v>
      </c>
      <c r="E125">
        <v>7.2</v>
      </c>
      <c r="F125">
        <v>8</v>
      </c>
      <c r="G125">
        <v>60</v>
      </c>
      <c r="H125">
        <v>4</v>
      </c>
      <c r="I125" t="s">
        <v>19</v>
      </c>
      <c r="J125" t="s">
        <v>41</v>
      </c>
      <c r="K125">
        <v>68</v>
      </c>
      <c r="L125">
        <v>7000</v>
      </c>
      <c r="M125" t="s">
        <v>17</v>
      </c>
    </row>
    <row r="126" spans="1:13" x14ac:dyDescent="0.25">
      <c r="A126">
        <v>125</v>
      </c>
      <c r="B126" t="s">
        <v>28</v>
      </c>
      <c r="C126">
        <v>37</v>
      </c>
      <c r="D126" t="s">
        <v>35</v>
      </c>
      <c r="E126">
        <v>7.2</v>
      </c>
      <c r="F126">
        <v>8</v>
      </c>
      <c r="G126">
        <v>60</v>
      </c>
      <c r="H126">
        <v>4</v>
      </c>
      <c r="I126" t="s">
        <v>19</v>
      </c>
      <c r="J126" t="s">
        <v>41</v>
      </c>
      <c r="K126">
        <v>68</v>
      </c>
      <c r="L126">
        <v>7000</v>
      </c>
      <c r="M126" t="s">
        <v>17</v>
      </c>
    </row>
    <row r="127" spans="1:13" x14ac:dyDescent="0.25">
      <c r="A127">
        <v>126</v>
      </c>
      <c r="B127" t="s">
        <v>28</v>
      </c>
      <c r="C127">
        <v>37</v>
      </c>
      <c r="D127" t="s">
        <v>29</v>
      </c>
      <c r="E127">
        <v>7.5</v>
      </c>
      <c r="F127">
        <v>8</v>
      </c>
      <c r="G127">
        <v>60</v>
      </c>
      <c r="H127">
        <v>4</v>
      </c>
      <c r="I127" t="s">
        <v>30</v>
      </c>
      <c r="J127" t="s">
        <v>27</v>
      </c>
      <c r="K127">
        <v>70</v>
      </c>
      <c r="L127">
        <v>8000</v>
      </c>
      <c r="M127" t="s">
        <v>17</v>
      </c>
    </row>
    <row r="128" spans="1:13" x14ac:dyDescent="0.25">
      <c r="A128">
        <v>127</v>
      </c>
      <c r="B128" t="s">
        <v>13</v>
      </c>
      <c r="C128">
        <v>38</v>
      </c>
      <c r="D128" t="s">
        <v>42</v>
      </c>
      <c r="E128">
        <v>7.3</v>
      </c>
      <c r="F128">
        <v>8</v>
      </c>
      <c r="G128">
        <v>60</v>
      </c>
      <c r="H128">
        <v>5</v>
      </c>
      <c r="I128" t="s">
        <v>19</v>
      </c>
      <c r="J128" t="s">
        <v>45</v>
      </c>
      <c r="K128">
        <v>68</v>
      </c>
      <c r="L128">
        <v>8000</v>
      </c>
      <c r="M128" t="s">
        <v>17</v>
      </c>
    </row>
    <row r="129" spans="1:13" x14ac:dyDescent="0.25">
      <c r="A129">
        <v>128</v>
      </c>
      <c r="B129" t="s">
        <v>28</v>
      </c>
      <c r="C129">
        <v>38</v>
      </c>
      <c r="D129" t="s">
        <v>35</v>
      </c>
      <c r="E129">
        <v>7.1</v>
      </c>
      <c r="F129">
        <v>8</v>
      </c>
      <c r="G129">
        <v>60</v>
      </c>
      <c r="H129">
        <v>4</v>
      </c>
      <c r="I129" t="s">
        <v>19</v>
      </c>
      <c r="J129" t="s">
        <v>41</v>
      </c>
      <c r="K129">
        <v>68</v>
      </c>
      <c r="L129">
        <v>7000</v>
      </c>
      <c r="M129" t="s">
        <v>17</v>
      </c>
    </row>
    <row r="130" spans="1:13" x14ac:dyDescent="0.25">
      <c r="A130">
        <v>129</v>
      </c>
      <c r="B130" t="s">
        <v>13</v>
      </c>
      <c r="C130">
        <v>38</v>
      </c>
      <c r="D130" t="s">
        <v>42</v>
      </c>
      <c r="E130">
        <v>7.3</v>
      </c>
      <c r="F130">
        <v>8</v>
      </c>
      <c r="G130">
        <v>60</v>
      </c>
      <c r="H130">
        <v>5</v>
      </c>
      <c r="I130" t="s">
        <v>19</v>
      </c>
      <c r="J130" t="s">
        <v>45</v>
      </c>
      <c r="K130">
        <v>68</v>
      </c>
      <c r="L130">
        <v>8000</v>
      </c>
      <c r="M130" t="s">
        <v>17</v>
      </c>
    </row>
    <row r="131" spans="1:13" x14ac:dyDescent="0.25">
      <c r="A131">
        <v>130</v>
      </c>
      <c r="B131" t="s">
        <v>13</v>
      </c>
      <c r="C131">
        <v>38</v>
      </c>
      <c r="D131" t="s">
        <v>42</v>
      </c>
      <c r="E131">
        <v>7.3</v>
      </c>
      <c r="F131">
        <v>8</v>
      </c>
      <c r="G131">
        <v>60</v>
      </c>
      <c r="H131">
        <v>5</v>
      </c>
      <c r="I131" t="s">
        <v>19</v>
      </c>
      <c r="J131" t="s">
        <v>45</v>
      </c>
      <c r="K131">
        <v>68</v>
      </c>
      <c r="L131">
        <v>8000</v>
      </c>
      <c r="M131" t="s">
        <v>17</v>
      </c>
    </row>
    <row r="132" spans="1:13" x14ac:dyDescent="0.25">
      <c r="A132">
        <v>131</v>
      </c>
      <c r="B132" t="s">
        <v>28</v>
      </c>
      <c r="C132">
        <v>38</v>
      </c>
      <c r="D132" t="s">
        <v>35</v>
      </c>
      <c r="E132">
        <v>7.1</v>
      </c>
      <c r="F132">
        <v>8</v>
      </c>
      <c r="G132">
        <v>60</v>
      </c>
      <c r="H132">
        <v>4</v>
      </c>
      <c r="I132" t="s">
        <v>19</v>
      </c>
      <c r="J132" t="s">
        <v>41</v>
      </c>
      <c r="K132">
        <v>68</v>
      </c>
      <c r="L132">
        <v>7000</v>
      </c>
      <c r="M132" t="s">
        <v>17</v>
      </c>
    </row>
    <row r="133" spans="1:13" x14ac:dyDescent="0.25">
      <c r="A133">
        <v>132</v>
      </c>
      <c r="B133" t="s">
        <v>13</v>
      </c>
      <c r="C133">
        <v>38</v>
      </c>
      <c r="D133" t="s">
        <v>42</v>
      </c>
      <c r="E133">
        <v>7.3</v>
      </c>
      <c r="F133">
        <v>8</v>
      </c>
      <c r="G133">
        <v>60</v>
      </c>
      <c r="H133">
        <v>5</v>
      </c>
      <c r="I133" t="s">
        <v>19</v>
      </c>
      <c r="J133" t="s">
        <v>45</v>
      </c>
      <c r="K133">
        <v>68</v>
      </c>
      <c r="L133">
        <v>8000</v>
      </c>
      <c r="M133" t="s">
        <v>17</v>
      </c>
    </row>
    <row r="134" spans="1:13" x14ac:dyDescent="0.25">
      <c r="A134">
        <v>133</v>
      </c>
      <c r="B134" t="s">
        <v>13</v>
      </c>
      <c r="C134">
        <v>38</v>
      </c>
      <c r="D134" t="s">
        <v>42</v>
      </c>
      <c r="E134">
        <v>7.3</v>
      </c>
      <c r="F134">
        <v>8</v>
      </c>
      <c r="G134">
        <v>60</v>
      </c>
      <c r="H134">
        <v>5</v>
      </c>
      <c r="I134" t="s">
        <v>19</v>
      </c>
      <c r="J134" t="s">
        <v>45</v>
      </c>
      <c r="K134">
        <v>68</v>
      </c>
      <c r="L134">
        <v>8000</v>
      </c>
      <c r="M134" t="s">
        <v>17</v>
      </c>
    </row>
    <row r="135" spans="1:13" x14ac:dyDescent="0.25">
      <c r="A135">
        <v>134</v>
      </c>
      <c r="B135" t="s">
        <v>28</v>
      </c>
      <c r="C135">
        <v>38</v>
      </c>
      <c r="D135" t="s">
        <v>35</v>
      </c>
      <c r="E135">
        <v>7.1</v>
      </c>
      <c r="F135">
        <v>8</v>
      </c>
      <c r="G135">
        <v>60</v>
      </c>
      <c r="H135">
        <v>4</v>
      </c>
      <c r="I135" t="s">
        <v>19</v>
      </c>
      <c r="J135" t="s">
        <v>41</v>
      </c>
      <c r="K135">
        <v>68</v>
      </c>
      <c r="L135">
        <v>7000</v>
      </c>
      <c r="M135" t="s">
        <v>17</v>
      </c>
    </row>
    <row r="136" spans="1:13" x14ac:dyDescent="0.25">
      <c r="A136">
        <v>135</v>
      </c>
      <c r="B136" t="s">
        <v>13</v>
      </c>
      <c r="C136">
        <v>38</v>
      </c>
      <c r="D136" t="s">
        <v>42</v>
      </c>
      <c r="E136">
        <v>7.3</v>
      </c>
      <c r="F136">
        <v>8</v>
      </c>
      <c r="G136">
        <v>60</v>
      </c>
      <c r="H136">
        <v>5</v>
      </c>
      <c r="I136" t="s">
        <v>19</v>
      </c>
      <c r="J136" t="s">
        <v>45</v>
      </c>
      <c r="K136">
        <v>68</v>
      </c>
      <c r="L136">
        <v>8000</v>
      </c>
      <c r="M136" t="s">
        <v>17</v>
      </c>
    </row>
    <row r="137" spans="1:13" x14ac:dyDescent="0.25">
      <c r="A137">
        <v>136</v>
      </c>
      <c r="B137" t="s">
        <v>13</v>
      </c>
      <c r="C137">
        <v>38</v>
      </c>
      <c r="D137" t="s">
        <v>42</v>
      </c>
      <c r="E137">
        <v>7.3</v>
      </c>
      <c r="F137">
        <v>8</v>
      </c>
      <c r="G137">
        <v>60</v>
      </c>
      <c r="H137">
        <v>5</v>
      </c>
      <c r="I137" t="s">
        <v>19</v>
      </c>
      <c r="J137" t="s">
        <v>45</v>
      </c>
      <c r="K137">
        <v>68</v>
      </c>
      <c r="L137">
        <v>8000</v>
      </c>
      <c r="M137" t="s">
        <v>17</v>
      </c>
    </row>
    <row r="138" spans="1:13" x14ac:dyDescent="0.25">
      <c r="A138">
        <v>137</v>
      </c>
      <c r="B138" t="s">
        <v>28</v>
      </c>
      <c r="C138">
        <v>38</v>
      </c>
      <c r="D138" t="s">
        <v>35</v>
      </c>
      <c r="E138">
        <v>7.1</v>
      </c>
      <c r="F138">
        <v>8</v>
      </c>
      <c r="G138">
        <v>60</v>
      </c>
      <c r="H138">
        <v>4</v>
      </c>
      <c r="I138" t="s">
        <v>19</v>
      </c>
      <c r="J138" t="s">
        <v>41</v>
      </c>
      <c r="K138">
        <v>68</v>
      </c>
      <c r="L138">
        <v>7000</v>
      </c>
      <c r="M138" t="s">
        <v>17</v>
      </c>
    </row>
    <row r="139" spans="1:13" x14ac:dyDescent="0.25">
      <c r="A139">
        <v>138</v>
      </c>
      <c r="B139" t="s">
        <v>13</v>
      </c>
      <c r="C139">
        <v>38</v>
      </c>
      <c r="D139" t="s">
        <v>42</v>
      </c>
      <c r="E139">
        <v>7.1</v>
      </c>
      <c r="F139">
        <v>8</v>
      </c>
      <c r="G139">
        <v>60</v>
      </c>
      <c r="H139">
        <v>5</v>
      </c>
      <c r="I139" t="s">
        <v>19</v>
      </c>
      <c r="J139" t="s">
        <v>45</v>
      </c>
      <c r="K139">
        <v>68</v>
      </c>
      <c r="L139">
        <v>8000</v>
      </c>
      <c r="M139" t="s">
        <v>17</v>
      </c>
    </row>
    <row r="140" spans="1:13" x14ac:dyDescent="0.25">
      <c r="A140">
        <v>139</v>
      </c>
      <c r="B140" t="s">
        <v>28</v>
      </c>
      <c r="C140">
        <v>38</v>
      </c>
      <c r="D140" t="s">
        <v>35</v>
      </c>
      <c r="E140">
        <v>7.1</v>
      </c>
      <c r="F140">
        <v>8</v>
      </c>
      <c r="G140">
        <v>60</v>
      </c>
      <c r="H140">
        <v>4</v>
      </c>
      <c r="I140" t="s">
        <v>19</v>
      </c>
      <c r="J140" t="s">
        <v>41</v>
      </c>
      <c r="K140">
        <v>68</v>
      </c>
      <c r="L140">
        <v>7000</v>
      </c>
      <c r="M140" t="s">
        <v>17</v>
      </c>
    </row>
    <row r="141" spans="1:13" x14ac:dyDescent="0.25">
      <c r="A141">
        <v>140</v>
      </c>
      <c r="B141" t="s">
        <v>13</v>
      </c>
      <c r="C141">
        <v>38</v>
      </c>
      <c r="D141" t="s">
        <v>42</v>
      </c>
      <c r="E141">
        <v>7.1</v>
      </c>
      <c r="F141">
        <v>8</v>
      </c>
      <c r="G141">
        <v>60</v>
      </c>
      <c r="H141">
        <v>5</v>
      </c>
      <c r="I141" t="s">
        <v>19</v>
      </c>
      <c r="J141" t="s">
        <v>45</v>
      </c>
      <c r="K141">
        <v>68</v>
      </c>
      <c r="L141">
        <v>8000</v>
      </c>
      <c r="M141" t="s">
        <v>17</v>
      </c>
    </row>
    <row r="142" spans="1:13" x14ac:dyDescent="0.25">
      <c r="A142">
        <v>141</v>
      </c>
      <c r="B142" t="s">
        <v>28</v>
      </c>
      <c r="C142">
        <v>38</v>
      </c>
      <c r="D142" t="s">
        <v>35</v>
      </c>
      <c r="E142">
        <v>7.1</v>
      </c>
      <c r="F142">
        <v>8</v>
      </c>
      <c r="G142">
        <v>60</v>
      </c>
      <c r="H142">
        <v>4</v>
      </c>
      <c r="I142" t="s">
        <v>19</v>
      </c>
      <c r="J142" t="s">
        <v>41</v>
      </c>
      <c r="K142">
        <v>68</v>
      </c>
      <c r="L142">
        <v>7000</v>
      </c>
      <c r="M142" t="s">
        <v>17</v>
      </c>
    </row>
    <row r="143" spans="1:13" x14ac:dyDescent="0.25">
      <c r="A143">
        <v>142</v>
      </c>
      <c r="B143" t="s">
        <v>13</v>
      </c>
      <c r="C143">
        <v>38</v>
      </c>
      <c r="D143" t="s">
        <v>42</v>
      </c>
      <c r="E143">
        <v>7.1</v>
      </c>
      <c r="F143">
        <v>8</v>
      </c>
      <c r="G143">
        <v>60</v>
      </c>
      <c r="H143">
        <v>5</v>
      </c>
      <c r="I143" t="s">
        <v>19</v>
      </c>
      <c r="J143" t="s">
        <v>45</v>
      </c>
      <c r="K143">
        <v>68</v>
      </c>
      <c r="L143">
        <v>8000</v>
      </c>
      <c r="M143" t="s">
        <v>17</v>
      </c>
    </row>
    <row r="144" spans="1:13" x14ac:dyDescent="0.25">
      <c r="A144">
        <v>143</v>
      </c>
      <c r="B144" t="s">
        <v>28</v>
      </c>
      <c r="C144">
        <v>38</v>
      </c>
      <c r="D144" t="s">
        <v>35</v>
      </c>
      <c r="E144">
        <v>7.1</v>
      </c>
      <c r="F144">
        <v>8</v>
      </c>
      <c r="G144">
        <v>60</v>
      </c>
      <c r="H144">
        <v>4</v>
      </c>
      <c r="I144" t="s">
        <v>19</v>
      </c>
      <c r="J144" t="s">
        <v>41</v>
      </c>
      <c r="K144">
        <v>68</v>
      </c>
      <c r="L144">
        <v>7000</v>
      </c>
      <c r="M144" t="s">
        <v>17</v>
      </c>
    </row>
    <row r="145" spans="1:13" x14ac:dyDescent="0.25">
      <c r="A145">
        <v>144</v>
      </c>
      <c r="B145" t="s">
        <v>28</v>
      </c>
      <c r="C145">
        <v>38</v>
      </c>
      <c r="D145" t="s">
        <v>35</v>
      </c>
      <c r="E145">
        <v>7.1</v>
      </c>
      <c r="F145">
        <v>8</v>
      </c>
      <c r="G145">
        <v>60</v>
      </c>
      <c r="H145">
        <v>4</v>
      </c>
      <c r="I145" t="s">
        <v>19</v>
      </c>
      <c r="J145" t="s">
        <v>41</v>
      </c>
      <c r="K145">
        <v>68</v>
      </c>
      <c r="L145">
        <v>7000</v>
      </c>
      <c r="M145" t="s">
        <v>17</v>
      </c>
    </row>
    <row r="146" spans="1:13" x14ac:dyDescent="0.25">
      <c r="A146">
        <v>145</v>
      </c>
      <c r="B146" t="s">
        <v>13</v>
      </c>
      <c r="C146">
        <v>38</v>
      </c>
      <c r="D146" t="s">
        <v>42</v>
      </c>
      <c r="E146">
        <v>7.1</v>
      </c>
      <c r="F146">
        <v>8</v>
      </c>
      <c r="G146">
        <v>60</v>
      </c>
      <c r="H146">
        <v>5</v>
      </c>
      <c r="I146" t="s">
        <v>19</v>
      </c>
      <c r="J146" t="s">
        <v>45</v>
      </c>
      <c r="K146">
        <v>68</v>
      </c>
      <c r="L146">
        <v>8000</v>
      </c>
      <c r="M146" t="s">
        <v>24</v>
      </c>
    </row>
    <row r="147" spans="1:13" x14ac:dyDescent="0.25">
      <c r="A147">
        <v>146</v>
      </c>
      <c r="B147" t="s">
        <v>28</v>
      </c>
      <c r="C147">
        <v>38</v>
      </c>
      <c r="D147" t="s">
        <v>42</v>
      </c>
      <c r="E147">
        <v>7.4</v>
      </c>
      <c r="F147">
        <v>7</v>
      </c>
      <c r="G147">
        <v>60</v>
      </c>
      <c r="H147">
        <v>5</v>
      </c>
      <c r="I147" t="s">
        <v>22</v>
      </c>
      <c r="J147" t="s">
        <v>43</v>
      </c>
      <c r="K147">
        <v>84</v>
      </c>
      <c r="L147">
        <v>3300</v>
      </c>
      <c r="M147" t="s">
        <v>24</v>
      </c>
    </row>
    <row r="148" spans="1:13" x14ac:dyDescent="0.25">
      <c r="A148">
        <v>147</v>
      </c>
      <c r="B148" t="s">
        <v>13</v>
      </c>
      <c r="C148">
        <v>39</v>
      </c>
      <c r="D148" t="s">
        <v>42</v>
      </c>
      <c r="E148">
        <v>7.2</v>
      </c>
      <c r="F148">
        <v>8</v>
      </c>
      <c r="G148">
        <v>60</v>
      </c>
      <c r="H148">
        <v>5</v>
      </c>
      <c r="I148" t="s">
        <v>19</v>
      </c>
      <c r="J148" t="s">
        <v>45</v>
      </c>
      <c r="K148">
        <v>68</v>
      </c>
      <c r="L148">
        <v>8000</v>
      </c>
      <c r="M148" t="s">
        <v>25</v>
      </c>
    </row>
    <row r="149" spans="1:13" x14ac:dyDescent="0.25">
      <c r="A149">
        <v>148</v>
      </c>
      <c r="B149" t="s">
        <v>13</v>
      </c>
      <c r="C149">
        <v>39</v>
      </c>
      <c r="D149" t="s">
        <v>34</v>
      </c>
      <c r="E149">
        <v>6.5</v>
      </c>
      <c r="F149">
        <v>5</v>
      </c>
      <c r="G149">
        <v>40</v>
      </c>
      <c r="H149">
        <v>7</v>
      </c>
      <c r="I149" t="s">
        <v>15</v>
      </c>
      <c r="J149" t="s">
        <v>31</v>
      </c>
      <c r="K149">
        <v>80</v>
      </c>
      <c r="L149">
        <v>4000</v>
      </c>
      <c r="M149" t="s">
        <v>25</v>
      </c>
    </row>
    <row r="150" spans="1:13" x14ac:dyDescent="0.25">
      <c r="A150">
        <v>149</v>
      </c>
      <c r="B150" t="s">
        <v>28</v>
      </c>
      <c r="C150">
        <v>39</v>
      </c>
      <c r="D150" t="s">
        <v>42</v>
      </c>
      <c r="E150">
        <v>6.9</v>
      </c>
      <c r="F150">
        <v>7</v>
      </c>
      <c r="G150">
        <v>50</v>
      </c>
      <c r="H150">
        <v>6</v>
      </c>
      <c r="I150" t="s">
        <v>30</v>
      </c>
      <c r="J150" t="s">
        <v>38</v>
      </c>
      <c r="K150">
        <v>75</v>
      </c>
      <c r="L150">
        <v>5500</v>
      </c>
      <c r="M150" t="s">
        <v>17</v>
      </c>
    </row>
    <row r="151" spans="1:13" x14ac:dyDescent="0.25">
      <c r="A151">
        <v>150</v>
      </c>
      <c r="B151" t="s">
        <v>28</v>
      </c>
      <c r="C151">
        <v>39</v>
      </c>
      <c r="D151" t="s">
        <v>35</v>
      </c>
      <c r="E151">
        <v>8</v>
      </c>
      <c r="F151">
        <v>9</v>
      </c>
      <c r="G151">
        <v>80</v>
      </c>
      <c r="H151">
        <v>3</v>
      </c>
      <c r="I151" t="s">
        <v>30</v>
      </c>
      <c r="J151" t="s">
        <v>46</v>
      </c>
      <c r="K151">
        <v>67</v>
      </c>
      <c r="L151">
        <v>7500</v>
      </c>
      <c r="M151" t="s">
        <v>17</v>
      </c>
    </row>
    <row r="152" spans="1:13" x14ac:dyDescent="0.25">
      <c r="A152">
        <v>151</v>
      </c>
      <c r="B152" t="s">
        <v>28</v>
      </c>
      <c r="C152">
        <v>39</v>
      </c>
      <c r="D152" t="s">
        <v>35</v>
      </c>
      <c r="E152">
        <v>8</v>
      </c>
      <c r="F152">
        <v>9</v>
      </c>
      <c r="G152">
        <v>80</v>
      </c>
      <c r="H152">
        <v>3</v>
      </c>
      <c r="I152" t="s">
        <v>30</v>
      </c>
      <c r="J152" t="s">
        <v>46</v>
      </c>
      <c r="K152">
        <v>67</v>
      </c>
      <c r="L152">
        <v>7500</v>
      </c>
      <c r="M152" t="s">
        <v>17</v>
      </c>
    </row>
    <row r="153" spans="1:13" x14ac:dyDescent="0.25">
      <c r="A153">
        <v>152</v>
      </c>
      <c r="B153" t="s">
        <v>13</v>
      </c>
      <c r="C153">
        <v>39</v>
      </c>
      <c r="D153" t="s">
        <v>42</v>
      </c>
      <c r="E153">
        <v>7.2</v>
      </c>
      <c r="F153">
        <v>8</v>
      </c>
      <c r="G153">
        <v>60</v>
      </c>
      <c r="H153">
        <v>5</v>
      </c>
      <c r="I153" t="s">
        <v>19</v>
      </c>
      <c r="J153" t="s">
        <v>45</v>
      </c>
      <c r="K153">
        <v>68</v>
      </c>
      <c r="L153">
        <v>8000</v>
      </c>
      <c r="M153" t="s">
        <v>17</v>
      </c>
    </row>
    <row r="154" spans="1:13" x14ac:dyDescent="0.25">
      <c r="A154">
        <v>153</v>
      </c>
      <c r="B154" t="s">
        <v>13</v>
      </c>
      <c r="C154">
        <v>39</v>
      </c>
      <c r="D154" t="s">
        <v>42</v>
      </c>
      <c r="E154">
        <v>7.2</v>
      </c>
      <c r="F154">
        <v>8</v>
      </c>
      <c r="G154">
        <v>60</v>
      </c>
      <c r="H154">
        <v>5</v>
      </c>
      <c r="I154" t="s">
        <v>19</v>
      </c>
      <c r="J154" t="s">
        <v>45</v>
      </c>
      <c r="K154">
        <v>68</v>
      </c>
      <c r="L154">
        <v>8000</v>
      </c>
      <c r="M154" t="s">
        <v>17</v>
      </c>
    </row>
    <row r="155" spans="1:13" x14ac:dyDescent="0.25">
      <c r="A155">
        <v>154</v>
      </c>
      <c r="B155" t="s">
        <v>13</v>
      </c>
      <c r="C155">
        <v>39</v>
      </c>
      <c r="D155" t="s">
        <v>42</v>
      </c>
      <c r="E155">
        <v>7.2</v>
      </c>
      <c r="F155">
        <v>8</v>
      </c>
      <c r="G155">
        <v>60</v>
      </c>
      <c r="H155">
        <v>5</v>
      </c>
      <c r="I155" t="s">
        <v>19</v>
      </c>
      <c r="J155" t="s">
        <v>45</v>
      </c>
      <c r="K155">
        <v>68</v>
      </c>
      <c r="L155">
        <v>8000</v>
      </c>
      <c r="M155" t="s">
        <v>17</v>
      </c>
    </row>
    <row r="156" spans="1:13" x14ac:dyDescent="0.25">
      <c r="A156">
        <v>155</v>
      </c>
      <c r="B156" t="s">
        <v>13</v>
      </c>
      <c r="C156">
        <v>39</v>
      </c>
      <c r="D156" t="s">
        <v>42</v>
      </c>
      <c r="E156">
        <v>7.2</v>
      </c>
      <c r="F156">
        <v>8</v>
      </c>
      <c r="G156">
        <v>60</v>
      </c>
      <c r="H156">
        <v>5</v>
      </c>
      <c r="I156" t="s">
        <v>19</v>
      </c>
      <c r="J156" t="s">
        <v>45</v>
      </c>
      <c r="K156">
        <v>68</v>
      </c>
      <c r="L156">
        <v>8000</v>
      </c>
      <c r="M156" t="s">
        <v>17</v>
      </c>
    </row>
    <row r="157" spans="1:13" x14ac:dyDescent="0.25">
      <c r="A157">
        <v>156</v>
      </c>
      <c r="B157" t="s">
        <v>13</v>
      </c>
      <c r="C157">
        <v>39</v>
      </c>
      <c r="D157" t="s">
        <v>42</v>
      </c>
      <c r="E157">
        <v>7.2</v>
      </c>
      <c r="F157">
        <v>8</v>
      </c>
      <c r="G157">
        <v>60</v>
      </c>
      <c r="H157">
        <v>5</v>
      </c>
      <c r="I157" t="s">
        <v>19</v>
      </c>
      <c r="J157" t="s">
        <v>45</v>
      </c>
      <c r="K157">
        <v>68</v>
      </c>
      <c r="L157">
        <v>8000</v>
      </c>
      <c r="M157" t="s">
        <v>17</v>
      </c>
    </row>
    <row r="158" spans="1:13" x14ac:dyDescent="0.25">
      <c r="A158">
        <v>157</v>
      </c>
      <c r="B158" t="s">
        <v>13</v>
      </c>
      <c r="C158">
        <v>39</v>
      </c>
      <c r="D158" t="s">
        <v>42</v>
      </c>
      <c r="E158">
        <v>7.2</v>
      </c>
      <c r="F158">
        <v>8</v>
      </c>
      <c r="G158">
        <v>60</v>
      </c>
      <c r="H158">
        <v>5</v>
      </c>
      <c r="I158" t="s">
        <v>19</v>
      </c>
      <c r="J158" t="s">
        <v>45</v>
      </c>
      <c r="K158">
        <v>68</v>
      </c>
      <c r="L158">
        <v>8000</v>
      </c>
      <c r="M158" t="s">
        <v>17</v>
      </c>
    </row>
    <row r="159" spans="1:13" x14ac:dyDescent="0.25">
      <c r="A159">
        <v>158</v>
      </c>
      <c r="B159" t="s">
        <v>13</v>
      </c>
      <c r="C159">
        <v>39</v>
      </c>
      <c r="D159" t="s">
        <v>42</v>
      </c>
      <c r="E159">
        <v>7.2</v>
      </c>
      <c r="F159">
        <v>8</v>
      </c>
      <c r="G159">
        <v>60</v>
      </c>
      <c r="H159">
        <v>5</v>
      </c>
      <c r="I159" t="s">
        <v>19</v>
      </c>
      <c r="J159" t="s">
        <v>45</v>
      </c>
      <c r="K159">
        <v>68</v>
      </c>
      <c r="L159">
        <v>8000</v>
      </c>
      <c r="M159" t="s">
        <v>17</v>
      </c>
    </row>
    <row r="160" spans="1:13" x14ac:dyDescent="0.25">
      <c r="A160">
        <v>159</v>
      </c>
      <c r="B160" t="s">
        <v>13</v>
      </c>
      <c r="C160">
        <v>39</v>
      </c>
      <c r="D160" t="s">
        <v>42</v>
      </c>
      <c r="E160">
        <v>7.2</v>
      </c>
      <c r="F160">
        <v>8</v>
      </c>
      <c r="G160">
        <v>60</v>
      </c>
      <c r="H160">
        <v>5</v>
      </c>
      <c r="I160" t="s">
        <v>19</v>
      </c>
      <c r="J160" t="s">
        <v>45</v>
      </c>
      <c r="K160">
        <v>68</v>
      </c>
      <c r="L160">
        <v>8000</v>
      </c>
      <c r="M160" t="s">
        <v>17</v>
      </c>
    </row>
    <row r="161" spans="1:13" x14ac:dyDescent="0.25">
      <c r="A161">
        <v>160</v>
      </c>
      <c r="B161" t="s">
        <v>13</v>
      </c>
      <c r="C161">
        <v>39</v>
      </c>
      <c r="D161" t="s">
        <v>42</v>
      </c>
      <c r="E161">
        <v>7.2</v>
      </c>
      <c r="F161">
        <v>8</v>
      </c>
      <c r="G161">
        <v>60</v>
      </c>
      <c r="H161">
        <v>5</v>
      </c>
      <c r="I161" t="s">
        <v>19</v>
      </c>
      <c r="J161" t="s">
        <v>45</v>
      </c>
      <c r="K161">
        <v>68</v>
      </c>
      <c r="L161">
        <v>8000</v>
      </c>
      <c r="M161" t="s">
        <v>17</v>
      </c>
    </row>
    <row r="162" spans="1:13" x14ac:dyDescent="0.25">
      <c r="A162">
        <v>161</v>
      </c>
      <c r="B162" t="s">
        <v>13</v>
      </c>
      <c r="C162">
        <v>39</v>
      </c>
      <c r="D162" t="s">
        <v>42</v>
      </c>
      <c r="E162">
        <v>7.2</v>
      </c>
      <c r="F162">
        <v>8</v>
      </c>
      <c r="G162">
        <v>60</v>
      </c>
      <c r="H162">
        <v>5</v>
      </c>
      <c r="I162" t="s">
        <v>19</v>
      </c>
      <c r="J162" t="s">
        <v>45</v>
      </c>
      <c r="K162">
        <v>68</v>
      </c>
      <c r="L162">
        <v>8000</v>
      </c>
      <c r="M162" t="s">
        <v>17</v>
      </c>
    </row>
    <row r="163" spans="1:13" x14ac:dyDescent="0.25">
      <c r="A163">
        <v>162</v>
      </c>
      <c r="B163" t="s">
        <v>28</v>
      </c>
      <c r="C163">
        <v>40</v>
      </c>
      <c r="D163" t="s">
        <v>35</v>
      </c>
      <c r="E163">
        <v>7.2</v>
      </c>
      <c r="F163">
        <v>8</v>
      </c>
      <c r="G163">
        <v>55</v>
      </c>
      <c r="H163">
        <v>6</v>
      </c>
      <c r="I163" t="s">
        <v>30</v>
      </c>
      <c r="J163" t="s">
        <v>47</v>
      </c>
      <c r="K163">
        <v>73</v>
      </c>
      <c r="L163">
        <v>7300</v>
      </c>
      <c r="M163" t="s">
        <v>17</v>
      </c>
    </row>
    <row r="164" spans="1:13" x14ac:dyDescent="0.25">
      <c r="A164">
        <v>163</v>
      </c>
      <c r="B164" t="s">
        <v>28</v>
      </c>
      <c r="C164">
        <v>40</v>
      </c>
      <c r="D164" t="s">
        <v>35</v>
      </c>
      <c r="E164">
        <v>7.2</v>
      </c>
      <c r="F164">
        <v>8</v>
      </c>
      <c r="G164">
        <v>55</v>
      </c>
      <c r="H164">
        <v>6</v>
      </c>
      <c r="I164" t="s">
        <v>30</v>
      </c>
      <c r="J164" t="s">
        <v>47</v>
      </c>
      <c r="K164">
        <v>73</v>
      </c>
      <c r="L164">
        <v>7300</v>
      </c>
      <c r="M164" t="s">
        <v>17</v>
      </c>
    </row>
    <row r="165" spans="1:13" x14ac:dyDescent="0.25">
      <c r="A165">
        <v>164</v>
      </c>
      <c r="B165" t="s">
        <v>13</v>
      </c>
      <c r="C165">
        <v>40</v>
      </c>
      <c r="D165" t="s">
        <v>42</v>
      </c>
      <c r="E165">
        <v>7.9</v>
      </c>
      <c r="F165">
        <v>8</v>
      </c>
      <c r="G165">
        <v>90</v>
      </c>
      <c r="H165">
        <v>5</v>
      </c>
      <c r="I165" t="s">
        <v>19</v>
      </c>
      <c r="J165" t="s">
        <v>45</v>
      </c>
      <c r="K165">
        <v>68</v>
      </c>
      <c r="L165">
        <v>8000</v>
      </c>
      <c r="M165" t="s">
        <v>17</v>
      </c>
    </row>
    <row r="166" spans="1:13" x14ac:dyDescent="0.25">
      <c r="A166">
        <v>165</v>
      </c>
      <c r="B166" t="s">
        <v>13</v>
      </c>
      <c r="C166">
        <v>40</v>
      </c>
      <c r="D166" t="s">
        <v>42</v>
      </c>
      <c r="E166">
        <v>7.9</v>
      </c>
      <c r="F166">
        <v>8</v>
      </c>
      <c r="G166">
        <v>90</v>
      </c>
      <c r="H166">
        <v>5</v>
      </c>
      <c r="I166" t="s">
        <v>19</v>
      </c>
      <c r="J166" t="s">
        <v>45</v>
      </c>
      <c r="K166">
        <v>68</v>
      </c>
      <c r="L166">
        <v>8000</v>
      </c>
      <c r="M166" t="s">
        <v>17</v>
      </c>
    </row>
    <row r="167" spans="1:13" x14ac:dyDescent="0.25">
      <c r="A167">
        <v>166</v>
      </c>
      <c r="B167" t="s">
        <v>13</v>
      </c>
      <c r="C167">
        <v>41</v>
      </c>
      <c r="D167" t="s">
        <v>42</v>
      </c>
      <c r="E167">
        <v>7.6</v>
      </c>
      <c r="F167">
        <v>8</v>
      </c>
      <c r="G167">
        <v>90</v>
      </c>
      <c r="H167">
        <v>5</v>
      </c>
      <c r="I167" t="s">
        <v>19</v>
      </c>
      <c r="J167" t="s">
        <v>45</v>
      </c>
      <c r="K167">
        <v>70</v>
      </c>
      <c r="L167">
        <v>8000</v>
      </c>
      <c r="M167" t="s">
        <v>25</v>
      </c>
    </row>
    <row r="168" spans="1:13" x14ac:dyDescent="0.25">
      <c r="A168">
        <v>167</v>
      </c>
      <c r="B168" t="s">
        <v>13</v>
      </c>
      <c r="C168">
        <v>41</v>
      </c>
      <c r="D168" t="s">
        <v>34</v>
      </c>
      <c r="E168">
        <v>7.3</v>
      </c>
      <c r="F168">
        <v>8</v>
      </c>
      <c r="G168">
        <v>70</v>
      </c>
      <c r="H168">
        <v>6</v>
      </c>
      <c r="I168" t="s">
        <v>30</v>
      </c>
      <c r="J168" t="s">
        <v>48</v>
      </c>
      <c r="K168">
        <v>72</v>
      </c>
      <c r="L168">
        <v>6200</v>
      </c>
      <c r="M168" t="s">
        <v>17</v>
      </c>
    </row>
    <row r="169" spans="1:13" x14ac:dyDescent="0.25">
      <c r="A169">
        <v>168</v>
      </c>
      <c r="B169" t="s">
        <v>13</v>
      </c>
      <c r="C169">
        <v>41</v>
      </c>
      <c r="D169" t="s">
        <v>42</v>
      </c>
      <c r="E169">
        <v>7.1</v>
      </c>
      <c r="F169">
        <v>7</v>
      </c>
      <c r="G169">
        <v>55</v>
      </c>
      <c r="H169">
        <v>6</v>
      </c>
      <c r="I169" t="s">
        <v>15</v>
      </c>
      <c r="J169" t="s">
        <v>49</v>
      </c>
      <c r="K169">
        <v>72</v>
      </c>
      <c r="L169">
        <v>6000</v>
      </c>
      <c r="M169" t="s">
        <v>17</v>
      </c>
    </row>
    <row r="170" spans="1:13" x14ac:dyDescent="0.25">
      <c r="A170">
        <v>169</v>
      </c>
      <c r="B170" t="s">
        <v>13</v>
      </c>
      <c r="C170">
        <v>41</v>
      </c>
      <c r="D170" t="s">
        <v>42</v>
      </c>
      <c r="E170">
        <v>7.1</v>
      </c>
      <c r="F170">
        <v>7</v>
      </c>
      <c r="G170">
        <v>55</v>
      </c>
      <c r="H170">
        <v>6</v>
      </c>
      <c r="I170" t="s">
        <v>15</v>
      </c>
      <c r="J170" t="s">
        <v>49</v>
      </c>
      <c r="K170">
        <v>72</v>
      </c>
      <c r="L170">
        <v>6000</v>
      </c>
      <c r="M170" t="s">
        <v>17</v>
      </c>
    </row>
    <row r="171" spans="1:13" x14ac:dyDescent="0.25">
      <c r="A171">
        <v>170</v>
      </c>
      <c r="B171" t="s">
        <v>13</v>
      </c>
      <c r="C171">
        <v>41</v>
      </c>
      <c r="D171" t="s">
        <v>42</v>
      </c>
      <c r="E171">
        <v>7.7</v>
      </c>
      <c r="F171">
        <v>8</v>
      </c>
      <c r="G171">
        <v>90</v>
      </c>
      <c r="H171">
        <v>5</v>
      </c>
      <c r="I171" t="s">
        <v>19</v>
      </c>
      <c r="J171" t="s">
        <v>45</v>
      </c>
      <c r="K171">
        <v>70</v>
      </c>
      <c r="L171">
        <v>8000</v>
      </c>
      <c r="M171" t="s">
        <v>17</v>
      </c>
    </row>
    <row r="172" spans="1:13" x14ac:dyDescent="0.25">
      <c r="A172">
        <v>171</v>
      </c>
      <c r="B172" t="s">
        <v>13</v>
      </c>
      <c r="C172">
        <v>41</v>
      </c>
      <c r="D172" t="s">
        <v>42</v>
      </c>
      <c r="E172">
        <v>7.7</v>
      </c>
      <c r="F172">
        <v>8</v>
      </c>
      <c r="G172">
        <v>90</v>
      </c>
      <c r="H172">
        <v>5</v>
      </c>
      <c r="I172" t="s">
        <v>19</v>
      </c>
      <c r="J172" t="s">
        <v>45</v>
      </c>
      <c r="K172">
        <v>70</v>
      </c>
      <c r="L172">
        <v>8000</v>
      </c>
      <c r="M172" t="s">
        <v>17</v>
      </c>
    </row>
    <row r="173" spans="1:13" x14ac:dyDescent="0.25">
      <c r="A173">
        <v>172</v>
      </c>
      <c r="B173" t="s">
        <v>13</v>
      </c>
      <c r="C173">
        <v>41</v>
      </c>
      <c r="D173" t="s">
        <v>42</v>
      </c>
      <c r="E173">
        <v>7.7</v>
      </c>
      <c r="F173">
        <v>8</v>
      </c>
      <c r="G173">
        <v>90</v>
      </c>
      <c r="H173">
        <v>5</v>
      </c>
      <c r="I173" t="s">
        <v>19</v>
      </c>
      <c r="J173" t="s">
        <v>45</v>
      </c>
      <c r="K173">
        <v>70</v>
      </c>
      <c r="L173">
        <v>8000</v>
      </c>
      <c r="M173" t="s">
        <v>17</v>
      </c>
    </row>
    <row r="174" spans="1:13" x14ac:dyDescent="0.25">
      <c r="A174">
        <v>173</v>
      </c>
      <c r="B174" t="s">
        <v>13</v>
      </c>
      <c r="C174">
        <v>41</v>
      </c>
      <c r="D174" t="s">
        <v>42</v>
      </c>
      <c r="E174">
        <v>7.7</v>
      </c>
      <c r="F174">
        <v>8</v>
      </c>
      <c r="G174">
        <v>90</v>
      </c>
      <c r="H174">
        <v>5</v>
      </c>
      <c r="I174" t="s">
        <v>19</v>
      </c>
      <c r="J174" t="s">
        <v>45</v>
      </c>
      <c r="K174">
        <v>70</v>
      </c>
      <c r="L174">
        <v>8000</v>
      </c>
      <c r="M174" t="s">
        <v>17</v>
      </c>
    </row>
    <row r="175" spans="1:13" x14ac:dyDescent="0.25">
      <c r="A175">
        <v>174</v>
      </c>
      <c r="B175" t="s">
        <v>13</v>
      </c>
      <c r="C175">
        <v>41</v>
      </c>
      <c r="D175" t="s">
        <v>42</v>
      </c>
      <c r="E175">
        <v>7.7</v>
      </c>
      <c r="F175">
        <v>8</v>
      </c>
      <c r="G175">
        <v>90</v>
      </c>
      <c r="H175">
        <v>5</v>
      </c>
      <c r="I175" t="s">
        <v>19</v>
      </c>
      <c r="J175" t="s">
        <v>45</v>
      </c>
      <c r="K175">
        <v>70</v>
      </c>
      <c r="L175">
        <v>8000</v>
      </c>
      <c r="M175" t="s">
        <v>17</v>
      </c>
    </row>
    <row r="176" spans="1:13" x14ac:dyDescent="0.25">
      <c r="A176">
        <v>175</v>
      </c>
      <c r="B176" t="s">
        <v>13</v>
      </c>
      <c r="C176">
        <v>41</v>
      </c>
      <c r="D176" t="s">
        <v>42</v>
      </c>
      <c r="E176">
        <v>7.6</v>
      </c>
      <c r="F176">
        <v>8</v>
      </c>
      <c r="G176">
        <v>90</v>
      </c>
      <c r="H176">
        <v>5</v>
      </c>
      <c r="I176" t="s">
        <v>19</v>
      </c>
      <c r="J176" t="s">
        <v>45</v>
      </c>
      <c r="K176">
        <v>70</v>
      </c>
      <c r="L176">
        <v>8000</v>
      </c>
      <c r="M176" t="s">
        <v>17</v>
      </c>
    </row>
    <row r="177" spans="1:13" x14ac:dyDescent="0.25">
      <c r="A177">
        <v>176</v>
      </c>
      <c r="B177" t="s">
        <v>13</v>
      </c>
      <c r="C177">
        <v>41</v>
      </c>
      <c r="D177" t="s">
        <v>42</v>
      </c>
      <c r="E177">
        <v>7.6</v>
      </c>
      <c r="F177">
        <v>8</v>
      </c>
      <c r="G177">
        <v>90</v>
      </c>
      <c r="H177">
        <v>5</v>
      </c>
      <c r="I177" t="s">
        <v>19</v>
      </c>
      <c r="J177" t="s">
        <v>45</v>
      </c>
      <c r="K177">
        <v>70</v>
      </c>
      <c r="L177">
        <v>8000</v>
      </c>
      <c r="M177" t="s">
        <v>17</v>
      </c>
    </row>
    <row r="178" spans="1:13" x14ac:dyDescent="0.25">
      <c r="A178">
        <v>177</v>
      </c>
      <c r="B178" t="s">
        <v>13</v>
      </c>
      <c r="C178">
        <v>41</v>
      </c>
      <c r="D178" t="s">
        <v>42</v>
      </c>
      <c r="E178">
        <v>7.6</v>
      </c>
      <c r="F178">
        <v>8</v>
      </c>
      <c r="G178">
        <v>90</v>
      </c>
      <c r="H178">
        <v>5</v>
      </c>
      <c r="I178" t="s">
        <v>19</v>
      </c>
      <c r="J178" t="s">
        <v>45</v>
      </c>
      <c r="K178">
        <v>70</v>
      </c>
      <c r="L178">
        <v>8000</v>
      </c>
      <c r="M178" t="s">
        <v>17</v>
      </c>
    </row>
    <row r="179" spans="1:13" x14ac:dyDescent="0.25">
      <c r="A179">
        <v>178</v>
      </c>
      <c r="B179" t="s">
        <v>13</v>
      </c>
      <c r="C179">
        <v>42</v>
      </c>
      <c r="D179" t="s">
        <v>50</v>
      </c>
      <c r="E179">
        <v>6.5</v>
      </c>
      <c r="F179">
        <v>6</v>
      </c>
      <c r="G179">
        <v>45</v>
      </c>
      <c r="H179">
        <v>7</v>
      </c>
      <c r="I179" t="s">
        <v>15</v>
      </c>
      <c r="J179" t="s">
        <v>45</v>
      </c>
      <c r="K179">
        <v>72</v>
      </c>
      <c r="L179">
        <v>6000</v>
      </c>
      <c r="M179" t="s">
        <v>25</v>
      </c>
    </row>
    <row r="180" spans="1:13" x14ac:dyDescent="0.25">
      <c r="A180">
        <v>179</v>
      </c>
      <c r="B180" t="s">
        <v>13</v>
      </c>
      <c r="C180">
        <v>42</v>
      </c>
      <c r="D180" t="s">
        <v>42</v>
      </c>
      <c r="E180">
        <v>7.8</v>
      </c>
      <c r="F180">
        <v>8</v>
      </c>
      <c r="G180">
        <v>90</v>
      </c>
      <c r="H180">
        <v>5</v>
      </c>
      <c r="I180" t="s">
        <v>19</v>
      </c>
      <c r="J180" t="s">
        <v>45</v>
      </c>
      <c r="K180">
        <v>70</v>
      </c>
      <c r="L180">
        <v>8000</v>
      </c>
      <c r="M180" t="s">
        <v>17</v>
      </c>
    </row>
    <row r="181" spans="1:13" x14ac:dyDescent="0.25">
      <c r="A181">
        <v>180</v>
      </c>
      <c r="B181" t="s">
        <v>13</v>
      </c>
      <c r="C181">
        <v>42</v>
      </c>
      <c r="D181" t="s">
        <v>42</v>
      </c>
      <c r="E181">
        <v>7.8</v>
      </c>
      <c r="F181">
        <v>8</v>
      </c>
      <c r="G181">
        <v>90</v>
      </c>
      <c r="H181">
        <v>5</v>
      </c>
      <c r="I181" t="s">
        <v>19</v>
      </c>
      <c r="J181" t="s">
        <v>45</v>
      </c>
      <c r="K181">
        <v>70</v>
      </c>
      <c r="L181">
        <v>8000</v>
      </c>
      <c r="M181" t="s">
        <v>17</v>
      </c>
    </row>
    <row r="182" spans="1:13" x14ac:dyDescent="0.25">
      <c r="A182">
        <v>181</v>
      </c>
      <c r="B182" t="s">
        <v>13</v>
      </c>
      <c r="C182">
        <v>42</v>
      </c>
      <c r="D182" t="s">
        <v>42</v>
      </c>
      <c r="E182">
        <v>7.8</v>
      </c>
      <c r="F182">
        <v>8</v>
      </c>
      <c r="G182">
        <v>90</v>
      </c>
      <c r="H182">
        <v>5</v>
      </c>
      <c r="I182" t="s">
        <v>19</v>
      </c>
      <c r="J182" t="s">
        <v>45</v>
      </c>
      <c r="K182">
        <v>70</v>
      </c>
      <c r="L182">
        <v>8000</v>
      </c>
      <c r="M182" t="s">
        <v>17</v>
      </c>
    </row>
    <row r="183" spans="1:13" x14ac:dyDescent="0.25">
      <c r="A183">
        <v>182</v>
      </c>
      <c r="B183" t="s">
        <v>13</v>
      </c>
      <c r="C183">
        <v>42</v>
      </c>
      <c r="D183" t="s">
        <v>42</v>
      </c>
      <c r="E183">
        <v>7.8</v>
      </c>
      <c r="F183">
        <v>8</v>
      </c>
      <c r="G183">
        <v>90</v>
      </c>
      <c r="H183">
        <v>5</v>
      </c>
      <c r="I183" t="s">
        <v>19</v>
      </c>
      <c r="J183" t="s">
        <v>45</v>
      </c>
      <c r="K183">
        <v>70</v>
      </c>
      <c r="L183">
        <v>8000</v>
      </c>
      <c r="M183" t="s">
        <v>17</v>
      </c>
    </row>
    <row r="184" spans="1:13" x14ac:dyDescent="0.25">
      <c r="A184">
        <v>183</v>
      </c>
      <c r="B184" t="s">
        <v>13</v>
      </c>
      <c r="C184">
        <v>42</v>
      </c>
      <c r="D184" t="s">
        <v>42</v>
      </c>
      <c r="E184">
        <v>7.8</v>
      </c>
      <c r="F184">
        <v>8</v>
      </c>
      <c r="G184">
        <v>90</v>
      </c>
      <c r="H184">
        <v>5</v>
      </c>
      <c r="I184" t="s">
        <v>19</v>
      </c>
      <c r="J184" t="s">
        <v>45</v>
      </c>
      <c r="K184">
        <v>70</v>
      </c>
      <c r="L184">
        <v>8000</v>
      </c>
      <c r="M184" t="s">
        <v>17</v>
      </c>
    </row>
    <row r="185" spans="1:13" x14ac:dyDescent="0.25">
      <c r="A185">
        <v>184</v>
      </c>
      <c r="B185" t="s">
        <v>13</v>
      </c>
      <c r="C185">
        <v>42</v>
      </c>
      <c r="D185" t="s">
        <v>42</v>
      </c>
      <c r="E185">
        <v>7.8</v>
      </c>
      <c r="F185">
        <v>8</v>
      </c>
      <c r="G185">
        <v>90</v>
      </c>
      <c r="H185">
        <v>5</v>
      </c>
      <c r="I185" t="s">
        <v>19</v>
      </c>
      <c r="J185" t="s">
        <v>45</v>
      </c>
      <c r="K185">
        <v>70</v>
      </c>
      <c r="L185">
        <v>8000</v>
      </c>
      <c r="M185" t="s">
        <v>17</v>
      </c>
    </row>
    <row r="186" spans="1:13" x14ac:dyDescent="0.25">
      <c r="A186">
        <v>185</v>
      </c>
      <c r="B186" t="s">
        <v>28</v>
      </c>
      <c r="C186">
        <v>42</v>
      </c>
      <c r="D186" t="s">
        <v>26</v>
      </c>
      <c r="E186">
        <v>6.8</v>
      </c>
      <c r="F186">
        <v>6</v>
      </c>
      <c r="G186">
        <v>45</v>
      </c>
      <c r="H186">
        <v>7</v>
      </c>
      <c r="I186" t="s">
        <v>15</v>
      </c>
      <c r="J186" t="s">
        <v>45</v>
      </c>
      <c r="K186">
        <v>78</v>
      </c>
      <c r="L186">
        <v>5000</v>
      </c>
      <c r="M186" t="s">
        <v>24</v>
      </c>
    </row>
    <row r="187" spans="1:13" x14ac:dyDescent="0.25">
      <c r="A187">
        <v>186</v>
      </c>
      <c r="B187" t="s">
        <v>28</v>
      </c>
      <c r="C187">
        <v>42</v>
      </c>
      <c r="D187" t="s">
        <v>26</v>
      </c>
      <c r="E187">
        <v>6.8</v>
      </c>
      <c r="F187">
        <v>6</v>
      </c>
      <c r="G187">
        <v>45</v>
      </c>
      <c r="H187">
        <v>7</v>
      </c>
      <c r="I187" t="s">
        <v>15</v>
      </c>
      <c r="J187" t="s">
        <v>45</v>
      </c>
      <c r="K187">
        <v>78</v>
      </c>
      <c r="L187">
        <v>5000</v>
      </c>
      <c r="M187" t="s">
        <v>24</v>
      </c>
    </row>
    <row r="188" spans="1:13" x14ac:dyDescent="0.25">
      <c r="A188">
        <v>187</v>
      </c>
      <c r="B188" t="s">
        <v>28</v>
      </c>
      <c r="C188">
        <v>43</v>
      </c>
      <c r="D188" t="s">
        <v>26</v>
      </c>
      <c r="E188">
        <v>6.7</v>
      </c>
      <c r="F188">
        <v>7</v>
      </c>
      <c r="G188">
        <v>45</v>
      </c>
      <c r="H188">
        <v>4</v>
      </c>
      <c r="I188" t="s">
        <v>15</v>
      </c>
      <c r="J188" t="s">
        <v>51</v>
      </c>
      <c r="K188">
        <v>65</v>
      </c>
      <c r="L188">
        <v>6000</v>
      </c>
      <c r="M188" t="s">
        <v>25</v>
      </c>
    </row>
    <row r="189" spans="1:13" x14ac:dyDescent="0.25">
      <c r="A189">
        <v>188</v>
      </c>
      <c r="B189" t="s">
        <v>13</v>
      </c>
      <c r="C189">
        <v>43</v>
      </c>
      <c r="D189" t="s">
        <v>50</v>
      </c>
      <c r="E189">
        <v>6.3</v>
      </c>
      <c r="F189">
        <v>6</v>
      </c>
      <c r="G189">
        <v>45</v>
      </c>
      <c r="H189">
        <v>7</v>
      </c>
      <c r="I189" t="s">
        <v>15</v>
      </c>
      <c r="J189" t="s">
        <v>45</v>
      </c>
      <c r="K189">
        <v>72</v>
      </c>
      <c r="L189">
        <v>6000</v>
      </c>
      <c r="M189" t="s">
        <v>25</v>
      </c>
    </row>
    <row r="190" spans="1:13" x14ac:dyDescent="0.25">
      <c r="A190">
        <v>189</v>
      </c>
      <c r="B190" t="s">
        <v>28</v>
      </c>
      <c r="C190">
        <v>43</v>
      </c>
      <c r="D190" t="s">
        <v>26</v>
      </c>
      <c r="E190">
        <v>6.7</v>
      </c>
      <c r="F190">
        <v>7</v>
      </c>
      <c r="G190">
        <v>45</v>
      </c>
      <c r="H190">
        <v>4</v>
      </c>
      <c r="I190" t="s">
        <v>15</v>
      </c>
      <c r="J190" t="s">
        <v>51</v>
      </c>
      <c r="K190">
        <v>65</v>
      </c>
      <c r="L190">
        <v>6000</v>
      </c>
      <c r="M190" t="s">
        <v>25</v>
      </c>
    </row>
    <row r="191" spans="1:13" x14ac:dyDescent="0.25">
      <c r="A191">
        <v>190</v>
      </c>
      <c r="B191" t="s">
        <v>13</v>
      </c>
      <c r="C191">
        <v>43</v>
      </c>
      <c r="D191" t="s">
        <v>50</v>
      </c>
      <c r="E191">
        <v>6.5</v>
      </c>
      <c r="F191">
        <v>6</v>
      </c>
      <c r="G191">
        <v>45</v>
      </c>
      <c r="H191">
        <v>7</v>
      </c>
      <c r="I191" t="s">
        <v>15</v>
      </c>
      <c r="J191" t="s">
        <v>45</v>
      </c>
      <c r="K191">
        <v>72</v>
      </c>
      <c r="L191">
        <v>6000</v>
      </c>
      <c r="M191" t="s">
        <v>25</v>
      </c>
    </row>
    <row r="192" spans="1:13" x14ac:dyDescent="0.25">
      <c r="A192">
        <v>191</v>
      </c>
      <c r="B192" t="s">
        <v>28</v>
      </c>
      <c r="C192">
        <v>43</v>
      </c>
      <c r="D192" t="s">
        <v>26</v>
      </c>
      <c r="E192">
        <v>6.7</v>
      </c>
      <c r="F192">
        <v>7</v>
      </c>
      <c r="G192">
        <v>45</v>
      </c>
      <c r="H192">
        <v>4</v>
      </c>
      <c r="I192" t="s">
        <v>15</v>
      </c>
      <c r="J192" t="s">
        <v>51</v>
      </c>
      <c r="K192">
        <v>65</v>
      </c>
      <c r="L192">
        <v>6000</v>
      </c>
      <c r="M192" t="s">
        <v>25</v>
      </c>
    </row>
    <row r="193" spans="1:13" x14ac:dyDescent="0.25">
      <c r="A193">
        <v>192</v>
      </c>
      <c r="B193" t="s">
        <v>13</v>
      </c>
      <c r="C193">
        <v>43</v>
      </c>
      <c r="D193" t="s">
        <v>50</v>
      </c>
      <c r="E193">
        <v>6.4</v>
      </c>
      <c r="F193">
        <v>6</v>
      </c>
      <c r="G193">
        <v>45</v>
      </c>
      <c r="H193">
        <v>7</v>
      </c>
      <c r="I193" t="s">
        <v>15</v>
      </c>
      <c r="J193" t="s">
        <v>45</v>
      </c>
      <c r="K193">
        <v>72</v>
      </c>
      <c r="L193">
        <v>6000</v>
      </c>
      <c r="M193" t="s">
        <v>25</v>
      </c>
    </row>
    <row r="194" spans="1:13" x14ac:dyDescent="0.25">
      <c r="A194">
        <v>193</v>
      </c>
      <c r="B194" t="s">
        <v>13</v>
      </c>
      <c r="C194">
        <v>43</v>
      </c>
      <c r="D194" t="s">
        <v>50</v>
      </c>
      <c r="E194">
        <v>6.5</v>
      </c>
      <c r="F194">
        <v>6</v>
      </c>
      <c r="G194">
        <v>45</v>
      </c>
      <c r="H194">
        <v>7</v>
      </c>
      <c r="I194" t="s">
        <v>15</v>
      </c>
      <c r="J194" t="s">
        <v>45</v>
      </c>
      <c r="K194">
        <v>72</v>
      </c>
      <c r="L194">
        <v>6000</v>
      </c>
      <c r="M194" t="s">
        <v>25</v>
      </c>
    </row>
    <row r="195" spans="1:13" x14ac:dyDescent="0.25">
      <c r="A195">
        <v>194</v>
      </c>
      <c r="B195" t="s">
        <v>13</v>
      </c>
      <c r="C195">
        <v>43</v>
      </c>
      <c r="D195" t="s">
        <v>50</v>
      </c>
      <c r="E195">
        <v>6.5</v>
      </c>
      <c r="F195">
        <v>6</v>
      </c>
      <c r="G195">
        <v>45</v>
      </c>
      <c r="H195">
        <v>7</v>
      </c>
      <c r="I195" t="s">
        <v>15</v>
      </c>
      <c r="J195" t="s">
        <v>45</v>
      </c>
      <c r="K195">
        <v>72</v>
      </c>
      <c r="L195">
        <v>6000</v>
      </c>
      <c r="M195" t="s">
        <v>25</v>
      </c>
    </row>
    <row r="196" spans="1:13" x14ac:dyDescent="0.25">
      <c r="A196">
        <v>195</v>
      </c>
      <c r="B196" t="s">
        <v>13</v>
      </c>
      <c r="C196">
        <v>43</v>
      </c>
      <c r="D196" t="s">
        <v>50</v>
      </c>
      <c r="E196">
        <v>6.5</v>
      </c>
      <c r="F196">
        <v>6</v>
      </c>
      <c r="G196">
        <v>45</v>
      </c>
      <c r="H196">
        <v>7</v>
      </c>
      <c r="I196" t="s">
        <v>15</v>
      </c>
      <c r="J196" t="s">
        <v>45</v>
      </c>
      <c r="K196">
        <v>72</v>
      </c>
      <c r="L196">
        <v>6000</v>
      </c>
      <c r="M196" t="s">
        <v>25</v>
      </c>
    </row>
    <row r="197" spans="1:13" x14ac:dyDescent="0.25">
      <c r="A197">
        <v>196</v>
      </c>
      <c r="B197" t="s">
        <v>13</v>
      </c>
      <c r="C197">
        <v>43</v>
      </c>
      <c r="D197" t="s">
        <v>50</v>
      </c>
      <c r="E197">
        <v>6.5</v>
      </c>
      <c r="F197">
        <v>6</v>
      </c>
      <c r="G197">
        <v>45</v>
      </c>
      <c r="H197">
        <v>7</v>
      </c>
      <c r="I197" t="s">
        <v>15</v>
      </c>
      <c r="J197" t="s">
        <v>45</v>
      </c>
      <c r="K197">
        <v>72</v>
      </c>
      <c r="L197">
        <v>6000</v>
      </c>
      <c r="M197" t="s">
        <v>25</v>
      </c>
    </row>
    <row r="198" spans="1:13" x14ac:dyDescent="0.25">
      <c r="A198">
        <v>197</v>
      </c>
      <c r="B198" t="s">
        <v>13</v>
      </c>
      <c r="C198">
        <v>43</v>
      </c>
      <c r="D198" t="s">
        <v>50</v>
      </c>
      <c r="E198">
        <v>6.5</v>
      </c>
      <c r="F198">
        <v>6</v>
      </c>
      <c r="G198">
        <v>45</v>
      </c>
      <c r="H198">
        <v>7</v>
      </c>
      <c r="I198" t="s">
        <v>15</v>
      </c>
      <c r="J198" t="s">
        <v>45</v>
      </c>
      <c r="K198">
        <v>72</v>
      </c>
      <c r="L198">
        <v>6000</v>
      </c>
      <c r="M198" t="s">
        <v>25</v>
      </c>
    </row>
    <row r="199" spans="1:13" x14ac:dyDescent="0.25">
      <c r="A199">
        <v>198</v>
      </c>
      <c r="B199" t="s">
        <v>13</v>
      </c>
      <c r="C199">
        <v>43</v>
      </c>
      <c r="D199" t="s">
        <v>50</v>
      </c>
      <c r="E199">
        <v>6.5</v>
      </c>
      <c r="F199">
        <v>6</v>
      </c>
      <c r="G199">
        <v>45</v>
      </c>
      <c r="H199">
        <v>7</v>
      </c>
      <c r="I199" t="s">
        <v>15</v>
      </c>
      <c r="J199" t="s">
        <v>45</v>
      </c>
      <c r="K199">
        <v>72</v>
      </c>
      <c r="L199">
        <v>6000</v>
      </c>
      <c r="M199" t="s">
        <v>25</v>
      </c>
    </row>
    <row r="200" spans="1:13" x14ac:dyDescent="0.25">
      <c r="A200">
        <v>199</v>
      </c>
      <c r="B200" t="s">
        <v>13</v>
      </c>
      <c r="C200">
        <v>43</v>
      </c>
      <c r="D200" t="s">
        <v>50</v>
      </c>
      <c r="E200">
        <v>6.5</v>
      </c>
      <c r="F200">
        <v>6</v>
      </c>
      <c r="G200">
        <v>45</v>
      </c>
      <c r="H200">
        <v>7</v>
      </c>
      <c r="I200" t="s">
        <v>15</v>
      </c>
      <c r="J200" t="s">
        <v>45</v>
      </c>
      <c r="K200">
        <v>72</v>
      </c>
      <c r="L200">
        <v>6000</v>
      </c>
      <c r="M200" t="s">
        <v>25</v>
      </c>
    </row>
    <row r="201" spans="1:13" x14ac:dyDescent="0.25">
      <c r="A201">
        <v>200</v>
      </c>
      <c r="B201" t="s">
        <v>13</v>
      </c>
      <c r="C201">
        <v>43</v>
      </c>
      <c r="D201" t="s">
        <v>50</v>
      </c>
      <c r="E201">
        <v>6.5</v>
      </c>
      <c r="F201">
        <v>6</v>
      </c>
      <c r="G201">
        <v>45</v>
      </c>
      <c r="H201">
        <v>7</v>
      </c>
      <c r="I201" t="s">
        <v>15</v>
      </c>
      <c r="J201" t="s">
        <v>45</v>
      </c>
      <c r="K201">
        <v>72</v>
      </c>
      <c r="L201">
        <v>6000</v>
      </c>
      <c r="M201" t="s">
        <v>25</v>
      </c>
    </row>
    <row r="202" spans="1:13" x14ac:dyDescent="0.25">
      <c r="A202">
        <v>201</v>
      </c>
      <c r="B202" t="s">
        <v>13</v>
      </c>
      <c r="C202">
        <v>43</v>
      </c>
      <c r="D202" t="s">
        <v>50</v>
      </c>
      <c r="E202">
        <v>6.5</v>
      </c>
      <c r="F202">
        <v>6</v>
      </c>
      <c r="G202">
        <v>45</v>
      </c>
      <c r="H202">
        <v>7</v>
      </c>
      <c r="I202" t="s">
        <v>15</v>
      </c>
      <c r="J202" t="s">
        <v>45</v>
      </c>
      <c r="K202">
        <v>72</v>
      </c>
      <c r="L202">
        <v>6000</v>
      </c>
      <c r="M202" t="s">
        <v>25</v>
      </c>
    </row>
    <row r="203" spans="1:13" x14ac:dyDescent="0.25">
      <c r="A203">
        <v>202</v>
      </c>
      <c r="B203" t="s">
        <v>13</v>
      </c>
      <c r="C203">
        <v>43</v>
      </c>
      <c r="D203" t="s">
        <v>34</v>
      </c>
      <c r="E203">
        <v>7.8</v>
      </c>
      <c r="F203">
        <v>8</v>
      </c>
      <c r="G203">
        <v>90</v>
      </c>
      <c r="H203">
        <v>5</v>
      </c>
      <c r="I203" t="s">
        <v>19</v>
      </c>
      <c r="J203" t="s">
        <v>45</v>
      </c>
      <c r="K203">
        <v>70</v>
      </c>
      <c r="L203">
        <v>8000</v>
      </c>
      <c r="M203" t="s">
        <v>25</v>
      </c>
    </row>
    <row r="204" spans="1:13" x14ac:dyDescent="0.25">
      <c r="A204">
        <v>203</v>
      </c>
      <c r="B204" t="s">
        <v>13</v>
      </c>
      <c r="C204">
        <v>43</v>
      </c>
      <c r="D204" t="s">
        <v>34</v>
      </c>
      <c r="E204">
        <v>7.8</v>
      </c>
      <c r="F204">
        <v>8</v>
      </c>
      <c r="G204">
        <v>90</v>
      </c>
      <c r="H204">
        <v>5</v>
      </c>
      <c r="I204" t="s">
        <v>19</v>
      </c>
      <c r="J204" t="s">
        <v>45</v>
      </c>
      <c r="K204">
        <v>70</v>
      </c>
      <c r="L204">
        <v>8000</v>
      </c>
      <c r="M204" t="s">
        <v>25</v>
      </c>
    </row>
    <row r="205" spans="1:13" x14ac:dyDescent="0.25">
      <c r="A205">
        <v>204</v>
      </c>
      <c r="B205" t="s">
        <v>13</v>
      </c>
      <c r="C205">
        <v>43</v>
      </c>
      <c r="D205" t="s">
        <v>34</v>
      </c>
      <c r="E205">
        <v>6.9</v>
      </c>
      <c r="F205">
        <v>6</v>
      </c>
      <c r="G205">
        <v>47</v>
      </c>
      <c r="H205">
        <v>7</v>
      </c>
      <c r="I205" t="s">
        <v>30</v>
      </c>
      <c r="J205" t="s">
        <v>33</v>
      </c>
      <c r="K205">
        <v>69</v>
      </c>
      <c r="L205">
        <v>6800</v>
      </c>
      <c r="M205" t="s">
        <v>17</v>
      </c>
    </row>
    <row r="206" spans="1:13" x14ac:dyDescent="0.25">
      <c r="A206">
        <v>205</v>
      </c>
      <c r="B206" t="s">
        <v>13</v>
      </c>
      <c r="C206">
        <v>43</v>
      </c>
      <c r="D206" t="s">
        <v>34</v>
      </c>
      <c r="E206">
        <v>7.6</v>
      </c>
      <c r="F206">
        <v>8</v>
      </c>
      <c r="G206">
        <v>75</v>
      </c>
      <c r="H206">
        <v>4</v>
      </c>
      <c r="I206" t="s">
        <v>15</v>
      </c>
      <c r="J206" t="s">
        <v>52</v>
      </c>
      <c r="K206">
        <v>68</v>
      </c>
      <c r="L206">
        <v>6800</v>
      </c>
      <c r="M206" t="s">
        <v>17</v>
      </c>
    </row>
    <row r="207" spans="1:13" x14ac:dyDescent="0.25">
      <c r="A207">
        <v>206</v>
      </c>
      <c r="B207" t="s">
        <v>13</v>
      </c>
      <c r="C207">
        <v>43</v>
      </c>
      <c r="D207" t="s">
        <v>34</v>
      </c>
      <c r="E207">
        <v>7.7</v>
      </c>
      <c r="F207">
        <v>8</v>
      </c>
      <c r="G207">
        <v>90</v>
      </c>
      <c r="H207">
        <v>5</v>
      </c>
      <c r="I207" t="s">
        <v>19</v>
      </c>
      <c r="J207" t="s">
        <v>45</v>
      </c>
      <c r="K207">
        <v>70</v>
      </c>
      <c r="L207">
        <v>8000</v>
      </c>
      <c r="M207" t="s">
        <v>17</v>
      </c>
    </row>
    <row r="208" spans="1:13" x14ac:dyDescent="0.25">
      <c r="A208">
        <v>207</v>
      </c>
      <c r="B208" t="s">
        <v>13</v>
      </c>
      <c r="C208">
        <v>43</v>
      </c>
      <c r="D208" t="s">
        <v>34</v>
      </c>
      <c r="E208">
        <v>7.7</v>
      </c>
      <c r="F208">
        <v>8</v>
      </c>
      <c r="G208">
        <v>90</v>
      </c>
      <c r="H208">
        <v>5</v>
      </c>
      <c r="I208" t="s">
        <v>19</v>
      </c>
      <c r="J208" t="s">
        <v>45</v>
      </c>
      <c r="K208">
        <v>70</v>
      </c>
      <c r="L208">
        <v>8000</v>
      </c>
      <c r="M208" t="s">
        <v>17</v>
      </c>
    </row>
    <row r="209" spans="1:13" x14ac:dyDescent="0.25">
      <c r="A209">
        <v>208</v>
      </c>
      <c r="B209" t="s">
        <v>13</v>
      </c>
      <c r="C209">
        <v>43</v>
      </c>
      <c r="D209" t="s">
        <v>34</v>
      </c>
      <c r="E209">
        <v>7.7</v>
      </c>
      <c r="F209">
        <v>8</v>
      </c>
      <c r="G209">
        <v>90</v>
      </c>
      <c r="H209">
        <v>5</v>
      </c>
      <c r="I209" t="s">
        <v>19</v>
      </c>
      <c r="J209" t="s">
        <v>45</v>
      </c>
      <c r="K209">
        <v>70</v>
      </c>
      <c r="L209">
        <v>8000</v>
      </c>
      <c r="M209" t="s">
        <v>17</v>
      </c>
    </row>
    <row r="210" spans="1:13" x14ac:dyDescent="0.25">
      <c r="A210">
        <v>209</v>
      </c>
      <c r="B210" t="s">
        <v>13</v>
      </c>
      <c r="C210">
        <v>43</v>
      </c>
      <c r="D210" t="s">
        <v>34</v>
      </c>
      <c r="E210">
        <v>7.7</v>
      </c>
      <c r="F210">
        <v>8</v>
      </c>
      <c r="G210">
        <v>90</v>
      </c>
      <c r="H210">
        <v>5</v>
      </c>
      <c r="I210" t="s">
        <v>19</v>
      </c>
      <c r="J210" t="s">
        <v>45</v>
      </c>
      <c r="K210">
        <v>70</v>
      </c>
      <c r="L210">
        <v>8000</v>
      </c>
      <c r="M210" t="s">
        <v>17</v>
      </c>
    </row>
    <row r="211" spans="1:13" x14ac:dyDescent="0.25">
      <c r="A211">
        <v>210</v>
      </c>
      <c r="B211" t="s">
        <v>13</v>
      </c>
      <c r="C211">
        <v>43</v>
      </c>
      <c r="D211" t="s">
        <v>34</v>
      </c>
      <c r="E211">
        <v>7.8</v>
      </c>
      <c r="F211">
        <v>8</v>
      </c>
      <c r="G211">
        <v>90</v>
      </c>
      <c r="H211">
        <v>5</v>
      </c>
      <c r="I211" t="s">
        <v>19</v>
      </c>
      <c r="J211" t="s">
        <v>45</v>
      </c>
      <c r="K211">
        <v>70</v>
      </c>
      <c r="L211">
        <v>8000</v>
      </c>
      <c r="M211" t="s">
        <v>17</v>
      </c>
    </row>
    <row r="212" spans="1:13" x14ac:dyDescent="0.25">
      <c r="A212">
        <v>211</v>
      </c>
      <c r="B212" t="s">
        <v>13</v>
      </c>
      <c r="C212">
        <v>43</v>
      </c>
      <c r="D212" t="s">
        <v>34</v>
      </c>
      <c r="E212">
        <v>7.7</v>
      </c>
      <c r="F212">
        <v>8</v>
      </c>
      <c r="G212">
        <v>90</v>
      </c>
      <c r="H212">
        <v>5</v>
      </c>
      <c r="I212" t="s">
        <v>19</v>
      </c>
      <c r="J212" t="s">
        <v>45</v>
      </c>
      <c r="K212">
        <v>70</v>
      </c>
      <c r="L212">
        <v>8000</v>
      </c>
      <c r="M212" t="s">
        <v>17</v>
      </c>
    </row>
    <row r="213" spans="1:13" x14ac:dyDescent="0.25">
      <c r="A213">
        <v>212</v>
      </c>
      <c r="B213" t="s">
        <v>13</v>
      </c>
      <c r="C213">
        <v>43</v>
      </c>
      <c r="D213" t="s">
        <v>34</v>
      </c>
      <c r="E213">
        <v>7.8</v>
      </c>
      <c r="F213">
        <v>8</v>
      </c>
      <c r="G213">
        <v>90</v>
      </c>
      <c r="H213">
        <v>5</v>
      </c>
      <c r="I213" t="s">
        <v>19</v>
      </c>
      <c r="J213" t="s">
        <v>45</v>
      </c>
      <c r="K213">
        <v>70</v>
      </c>
      <c r="L213">
        <v>8000</v>
      </c>
      <c r="M213" t="s">
        <v>17</v>
      </c>
    </row>
    <row r="214" spans="1:13" x14ac:dyDescent="0.25">
      <c r="A214">
        <v>213</v>
      </c>
      <c r="B214" t="s">
        <v>13</v>
      </c>
      <c r="C214">
        <v>43</v>
      </c>
      <c r="D214" t="s">
        <v>34</v>
      </c>
      <c r="E214">
        <v>7.8</v>
      </c>
      <c r="F214">
        <v>8</v>
      </c>
      <c r="G214">
        <v>90</v>
      </c>
      <c r="H214">
        <v>5</v>
      </c>
      <c r="I214" t="s">
        <v>19</v>
      </c>
      <c r="J214" t="s">
        <v>45</v>
      </c>
      <c r="K214">
        <v>70</v>
      </c>
      <c r="L214">
        <v>8000</v>
      </c>
      <c r="M214" t="s">
        <v>17</v>
      </c>
    </row>
    <row r="215" spans="1:13" x14ac:dyDescent="0.25">
      <c r="A215">
        <v>214</v>
      </c>
      <c r="B215" t="s">
        <v>13</v>
      </c>
      <c r="C215">
        <v>43</v>
      </c>
      <c r="D215" t="s">
        <v>34</v>
      </c>
      <c r="E215">
        <v>7.8</v>
      </c>
      <c r="F215">
        <v>8</v>
      </c>
      <c r="G215">
        <v>90</v>
      </c>
      <c r="H215">
        <v>5</v>
      </c>
      <c r="I215" t="s">
        <v>19</v>
      </c>
      <c r="J215" t="s">
        <v>45</v>
      </c>
      <c r="K215">
        <v>70</v>
      </c>
      <c r="L215">
        <v>8000</v>
      </c>
      <c r="M215" t="s">
        <v>17</v>
      </c>
    </row>
    <row r="216" spans="1:13" x14ac:dyDescent="0.25">
      <c r="A216">
        <v>215</v>
      </c>
      <c r="B216" t="s">
        <v>13</v>
      </c>
      <c r="C216">
        <v>43</v>
      </c>
      <c r="D216" t="s">
        <v>34</v>
      </c>
      <c r="E216">
        <v>7.8</v>
      </c>
      <c r="F216">
        <v>8</v>
      </c>
      <c r="G216">
        <v>90</v>
      </c>
      <c r="H216">
        <v>5</v>
      </c>
      <c r="I216" t="s">
        <v>19</v>
      </c>
      <c r="J216" t="s">
        <v>45</v>
      </c>
      <c r="K216">
        <v>70</v>
      </c>
      <c r="L216">
        <v>8000</v>
      </c>
      <c r="M216" t="s">
        <v>17</v>
      </c>
    </row>
    <row r="217" spans="1:13" x14ac:dyDescent="0.25">
      <c r="A217">
        <v>216</v>
      </c>
      <c r="B217" t="s">
        <v>13</v>
      </c>
      <c r="C217">
        <v>43</v>
      </c>
      <c r="D217" t="s">
        <v>34</v>
      </c>
      <c r="E217">
        <v>7.8</v>
      </c>
      <c r="F217">
        <v>8</v>
      </c>
      <c r="G217">
        <v>90</v>
      </c>
      <c r="H217">
        <v>5</v>
      </c>
      <c r="I217" t="s">
        <v>19</v>
      </c>
      <c r="J217" t="s">
        <v>45</v>
      </c>
      <c r="K217">
        <v>70</v>
      </c>
      <c r="L217">
        <v>8000</v>
      </c>
      <c r="M217" t="s">
        <v>17</v>
      </c>
    </row>
    <row r="218" spans="1:13" x14ac:dyDescent="0.25">
      <c r="A218">
        <v>217</v>
      </c>
      <c r="B218" t="s">
        <v>13</v>
      </c>
      <c r="C218">
        <v>43</v>
      </c>
      <c r="D218" t="s">
        <v>34</v>
      </c>
      <c r="E218">
        <v>7.8</v>
      </c>
      <c r="F218">
        <v>8</v>
      </c>
      <c r="G218">
        <v>90</v>
      </c>
      <c r="H218">
        <v>5</v>
      </c>
      <c r="I218" t="s">
        <v>19</v>
      </c>
      <c r="J218" t="s">
        <v>45</v>
      </c>
      <c r="K218">
        <v>70</v>
      </c>
      <c r="L218">
        <v>8000</v>
      </c>
      <c r="M218" t="s">
        <v>17</v>
      </c>
    </row>
    <row r="219" spans="1:13" x14ac:dyDescent="0.25">
      <c r="A219">
        <v>218</v>
      </c>
      <c r="B219" t="s">
        <v>13</v>
      </c>
      <c r="C219">
        <v>43</v>
      </c>
      <c r="D219" t="s">
        <v>34</v>
      </c>
      <c r="E219">
        <v>7.8</v>
      </c>
      <c r="F219">
        <v>8</v>
      </c>
      <c r="G219">
        <v>90</v>
      </c>
      <c r="H219">
        <v>5</v>
      </c>
      <c r="I219" t="s">
        <v>19</v>
      </c>
      <c r="J219" t="s">
        <v>45</v>
      </c>
      <c r="K219">
        <v>70</v>
      </c>
      <c r="L219">
        <v>8000</v>
      </c>
      <c r="M219" t="s">
        <v>17</v>
      </c>
    </row>
    <row r="220" spans="1:13" x14ac:dyDescent="0.25">
      <c r="A220">
        <v>219</v>
      </c>
      <c r="B220" t="s">
        <v>13</v>
      </c>
      <c r="C220">
        <v>43</v>
      </c>
      <c r="D220" t="s">
        <v>34</v>
      </c>
      <c r="E220">
        <v>7.8</v>
      </c>
      <c r="F220">
        <v>8</v>
      </c>
      <c r="G220">
        <v>90</v>
      </c>
      <c r="H220">
        <v>5</v>
      </c>
      <c r="I220" t="s">
        <v>19</v>
      </c>
      <c r="J220" t="s">
        <v>45</v>
      </c>
      <c r="K220">
        <v>70</v>
      </c>
      <c r="L220">
        <v>8000</v>
      </c>
      <c r="M220" t="s">
        <v>24</v>
      </c>
    </row>
    <row r="221" spans="1:13" x14ac:dyDescent="0.25">
      <c r="A221">
        <v>220</v>
      </c>
      <c r="B221" t="s">
        <v>13</v>
      </c>
      <c r="C221">
        <v>43</v>
      </c>
      <c r="D221" t="s">
        <v>50</v>
      </c>
      <c r="E221">
        <v>6.5</v>
      </c>
      <c r="F221">
        <v>6</v>
      </c>
      <c r="G221">
        <v>45</v>
      </c>
      <c r="H221">
        <v>7</v>
      </c>
      <c r="I221" t="s">
        <v>15</v>
      </c>
      <c r="J221" t="s">
        <v>45</v>
      </c>
      <c r="K221">
        <v>72</v>
      </c>
      <c r="L221">
        <v>6000</v>
      </c>
      <c r="M221" t="s">
        <v>24</v>
      </c>
    </row>
    <row r="222" spans="1:13" x14ac:dyDescent="0.25">
      <c r="A222">
        <v>221</v>
      </c>
      <c r="B222" t="s">
        <v>28</v>
      </c>
      <c r="C222">
        <v>44</v>
      </c>
      <c r="D222" t="s">
        <v>26</v>
      </c>
      <c r="E222">
        <v>6.6</v>
      </c>
      <c r="F222">
        <v>7</v>
      </c>
      <c r="G222">
        <v>45</v>
      </c>
      <c r="H222">
        <v>4</v>
      </c>
      <c r="I222" t="s">
        <v>15</v>
      </c>
      <c r="J222" t="s">
        <v>51</v>
      </c>
      <c r="K222">
        <v>65</v>
      </c>
      <c r="L222">
        <v>6000</v>
      </c>
      <c r="M222" t="s">
        <v>25</v>
      </c>
    </row>
    <row r="223" spans="1:13" x14ac:dyDescent="0.25">
      <c r="A223">
        <v>222</v>
      </c>
      <c r="B223" t="s">
        <v>13</v>
      </c>
      <c r="C223">
        <v>44</v>
      </c>
      <c r="D223" t="s">
        <v>50</v>
      </c>
      <c r="E223">
        <v>6.4</v>
      </c>
      <c r="F223">
        <v>6</v>
      </c>
      <c r="G223">
        <v>45</v>
      </c>
      <c r="H223">
        <v>7</v>
      </c>
      <c r="I223" t="s">
        <v>15</v>
      </c>
      <c r="J223" t="s">
        <v>45</v>
      </c>
      <c r="K223">
        <v>72</v>
      </c>
      <c r="L223">
        <v>6000</v>
      </c>
      <c r="M223" t="s">
        <v>25</v>
      </c>
    </row>
    <row r="224" spans="1:13" x14ac:dyDescent="0.25">
      <c r="A224">
        <v>223</v>
      </c>
      <c r="B224" t="s">
        <v>13</v>
      </c>
      <c r="C224">
        <v>44</v>
      </c>
      <c r="D224" t="s">
        <v>50</v>
      </c>
      <c r="E224">
        <v>6.3</v>
      </c>
      <c r="F224">
        <v>6</v>
      </c>
      <c r="G224">
        <v>45</v>
      </c>
      <c r="H224">
        <v>7</v>
      </c>
      <c r="I224" t="s">
        <v>15</v>
      </c>
      <c r="J224" t="s">
        <v>45</v>
      </c>
      <c r="K224">
        <v>72</v>
      </c>
      <c r="L224">
        <v>6000</v>
      </c>
      <c r="M224" t="s">
        <v>25</v>
      </c>
    </row>
    <row r="225" spans="1:13" x14ac:dyDescent="0.25">
      <c r="A225">
        <v>224</v>
      </c>
      <c r="B225" t="s">
        <v>13</v>
      </c>
      <c r="C225">
        <v>44</v>
      </c>
      <c r="D225" t="s">
        <v>50</v>
      </c>
      <c r="E225">
        <v>6.4</v>
      </c>
      <c r="F225">
        <v>6</v>
      </c>
      <c r="G225">
        <v>45</v>
      </c>
      <c r="H225">
        <v>7</v>
      </c>
      <c r="I225" t="s">
        <v>15</v>
      </c>
      <c r="J225" t="s">
        <v>45</v>
      </c>
      <c r="K225">
        <v>72</v>
      </c>
      <c r="L225">
        <v>6000</v>
      </c>
      <c r="M225" t="s">
        <v>25</v>
      </c>
    </row>
    <row r="226" spans="1:13" x14ac:dyDescent="0.25">
      <c r="A226">
        <v>225</v>
      </c>
      <c r="B226" t="s">
        <v>28</v>
      </c>
      <c r="C226">
        <v>44</v>
      </c>
      <c r="D226" t="s">
        <v>26</v>
      </c>
      <c r="E226">
        <v>6.6</v>
      </c>
      <c r="F226">
        <v>7</v>
      </c>
      <c r="G226">
        <v>45</v>
      </c>
      <c r="H226">
        <v>4</v>
      </c>
      <c r="I226" t="s">
        <v>15</v>
      </c>
      <c r="J226" t="s">
        <v>51</v>
      </c>
      <c r="K226">
        <v>65</v>
      </c>
      <c r="L226">
        <v>6000</v>
      </c>
      <c r="M226" t="s">
        <v>25</v>
      </c>
    </row>
    <row r="227" spans="1:13" x14ac:dyDescent="0.25">
      <c r="A227">
        <v>226</v>
      </c>
      <c r="B227" t="s">
        <v>13</v>
      </c>
      <c r="C227">
        <v>44</v>
      </c>
      <c r="D227" t="s">
        <v>50</v>
      </c>
      <c r="E227">
        <v>6.3</v>
      </c>
      <c r="F227">
        <v>6</v>
      </c>
      <c r="G227">
        <v>45</v>
      </c>
      <c r="H227">
        <v>7</v>
      </c>
      <c r="I227" t="s">
        <v>15</v>
      </c>
      <c r="J227" t="s">
        <v>45</v>
      </c>
      <c r="K227">
        <v>72</v>
      </c>
      <c r="L227">
        <v>6000</v>
      </c>
      <c r="M227" t="s">
        <v>25</v>
      </c>
    </row>
    <row r="228" spans="1:13" x14ac:dyDescent="0.25">
      <c r="A228">
        <v>227</v>
      </c>
      <c r="B228" t="s">
        <v>28</v>
      </c>
      <c r="C228">
        <v>44</v>
      </c>
      <c r="D228" t="s">
        <v>26</v>
      </c>
      <c r="E228">
        <v>6.6</v>
      </c>
      <c r="F228">
        <v>7</v>
      </c>
      <c r="G228">
        <v>45</v>
      </c>
      <c r="H228">
        <v>4</v>
      </c>
      <c r="I228" t="s">
        <v>15</v>
      </c>
      <c r="J228" t="s">
        <v>51</v>
      </c>
      <c r="K228">
        <v>65</v>
      </c>
      <c r="L228">
        <v>6000</v>
      </c>
      <c r="M228" t="s">
        <v>25</v>
      </c>
    </row>
    <row r="229" spans="1:13" x14ac:dyDescent="0.25">
      <c r="A229">
        <v>228</v>
      </c>
      <c r="B229" t="s">
        <v>13</v>
      </c>
      <c r="C229">
        <v>44</v>
      </c>
      <c r="D229" t="s">
        <v>50</v>
      </c>
      <c r="E229">
        <v>6.3</v>
      </c>
      <c r="F229">
        <v>6</v>
      </c>
      <c r="G229">
        <v>45</v>
      </c>
      <c r="H229">
        <v>7</v>
      </c>
      <c r="I229" t="s">
        <v>15</v>
      </c>
      <c r="J229" t="s">
        <v>45</v>
      </c>
      <c r="K229">
        <v>72</v>
      </c>
      <c r="L229">
        <v>6000</v>
      </c>
      <c r="M229" t="s">
        <v>25</v>
      </c>
    </row>
    <row r="230" spans="1:13" x14ac:dyDescent="0.25">
      <c r="A230">
        <v>229</v>
      </c>
      <c r="B230" t="s">
        <v>28</v>
      </c>
      <c r="C230">
        <v>44</v>
      </c>
      <c r="D230" t="s">
        <v>26</v>
      </c>
      <c r="E230">
        <v>6.6</v>
      </c>
      <c r="F230">
        <v>7</v>
      </c>
      <c r="G230">
        <v>45</v>
      </c>
      <c r="H230">
        <v>4</v>
      </c>
      <c r="I230" t="s">
        <v>15</v>
      </c>
      <c r="J230" t="s">
        <v>51</v>
      </c>
      <c r="K230">
        <v>65</v>
      </c>
      <c r="L230">
        <v>6000</v>
      </c>
      <c r="M230" t="s">
        <v>25</v>
      </c>
    </row>
    <row r="231" spans="1:13" x14ac:dyDescent="0.25">
      <c r="A231">
        <v>230</v>
      </c>
      <c r="B231" t="s">
        <v>13</v>
      </c>
      <c r="C231">
        <v>44</v>
      </c>
      <c r="D231" t="s">
        <v>50</v>
      </c>
      <c r="E231">
        <v>6.3</v>
      </c>
      <c r="F231">
        <v>6</v>
      </c>
      <c r="G231">
        <v>45</v>
      </c>
      <c r="H231">
        <v>7</v>
      </c>
      <c r="I231" t="s">
        <v>15</v>
      </c>
      <c r="J231" t="s">
        <v>45</v>
      </c>
      <c r="K231">
        <v>72</v>
      </c>
      <c r="L231">
        <v>6000</v>
      </c>
      <c r="M231" t="s">
        <v>25</v>
      </c>
    </row>
    <row r="232" spans="1:13" x14ac:dyDescent="0.25">
      <c r="A232">
        <v>231</v>
      </c>
      <c r="B232" t="s">
        <v>28</v>
      </c>
      <c r="C232">
        <v>44</v>
      </c>
      <c r="D232" t="s">
        <v>26</v>
      </c>
      <c r="E232">
        <v>6.6</v>
      </c>
      <c r="F232">
        <v>7</v>
      </c>
      <c r="G232">
        <v>45</v>
      </c>
      <c r="H232">
        <v>4</v>
      </c>
      <c r="I232" t="s">
        <v>15</v>
      </c>
      <c r="J232" t="s">
        <v>51</v>
      </c>
      <c r="K232">
        <v>65</v>
      </c>
      <c r="L232">
        <v>6000</v>
      </c>
      <c r="M232" t="s">
        <v>25</v>
      </c>
    </row>
    <row r="233" spans="1:13" x14ac:dyDescent="0.25">
      <c r="A233">
        <v>232</v>
      </c>
      <c r="B233" t="s">
        <v>13</v>
      </c>
      <c r="C233">
        <v>44</v>
      </c>
      <c r="D233" t="s">
        <v>50</v>
      </c>
      <c r="E233">
        <v>6.3</v>
      </c>
      <c r="F233">
        <v>6</v>
      </c>
      <c r="G233">
        <v>45</v>
      </c>
      <c r="H233">
        <v>7</v>
      </c>
      <c r="I233" t="s">
        <v>15</v>
      </c>
      <c r="J233" t="s">
        <v>45</v>
      </c>
      <c r="K233">
        <v>72</v>
      </c>
      <c r="L233">
        <v>6000</v>
      </c>
      <c r="M233" t="s">
        <v>25</v>
      </c>
    </row>
    <row r="234" spans="1:13" x14ac:dyDescent="0.25">
      <c r="A234">
        <v>233</v>
      </c>
      <c r="B234" t="s">
        <v>28</v>
      </c>
      <c r="C234">
        <v>44</v>
      </c>
      <c r="D234" t="s">
        <v>26</v>
      </c>
      <c r="E234">
        <v>6.6</v>
      </c>
      <c r="F234">
        <v>7</v>
      </c>
      <c r="G234">
        <v>45</v>
      </c>
      <c r="H234">
        <v>4</v>
      </c>
      <c r="I234" t="s">
        <v>15</v>
      </c>
      <c r="J234" t="s">
        <v>51</v>
      </c>
      <c r="K234">
        <v>65</v>
      </c>
      <c r="L234">
        <v>6000</v>
      </c>
      <c r="M234" t="s">
        <v>25</v>
      </c>
    </row>
    <row r="235" spans="1:13" x14ac:dyDescent="0.25">
      <c r="A235">
        <v>234</v>
      </c>
      <c r="B235" t="s">
        <v>13</v>
      </c>
      <c r="C235">
        <v>44</v>
      </c>
      <c r="D235" t="s">
        <v>50</v>
      </c>
      <c r="E235">
        <v>6.3</v>
      </c>
      <c r="F235">
        <v>6</v>
      </c>
      <c r="G235">
        <v>45</v>
      </c>
      <c r="H235">
        <v>7</v>
      </c>
      <c r="I235" t="s">
        <v>15</v>
      </c>
      <c r="J235" t="s">
        <v>45</v>
      </c>
      <c r="K235">
        <v>72</v>
      </c>
      <c r="L235">
        <v>6000</v>
      </c>
      <c r="M235" t="s">
        <v>25</v>
      </c>
    </row>
    <row r="236" spans="1:13" x14ac:dyDescent="0.25">
      <c r="A236">
        <v>235</v>
      </c>
      <c r="B236" t="s">
        <v>28</v>
      </c>
      <c r="C236">
        <v>44</v>
      </c>
      <c r="D236" t="s">
        <v>26</v>
      </c>
      <c r="E236">
        <v>6.6</v>
      </c>
      <c r="F236">
        <v>7</v>
      </c>
      <c r="G236">
        <v>45</v>
      </c>
      <c r="H236">
        <v>4</v>
      </c>
      <c r="I236" t="s">
        <v>15</v>
      </c>
      <c r="J236" t="s">
        <v>51</v>
      </c>
      <c r="K236">
        <v>65</v>
      </c>
      <c r="L236">
        <v>6000</v>
      </c>
      <c r="M236" t="s">
        <v>25</v>
      </c>
    </row>
    <row r="237" spans="1:13" x14ac:dyDescent="0.25">
      <c r="A237">
        <v>236</v>
      </c>
      <c r="B237" t="s">
        <v>13</v>
      </c>
      <c r="C237">
        <v>44</v>
      </c>
      <c r="D237" t="s">
        <v>50</v>
      </c>
      <c r="E237">
        <v>6.3</v>
      </c>
      <c r="F237">
        <v>6</v>
      </c>
      <c r="G237">
        <v>45</v>
      </c>
      <c r="H237">
        <v>7</v>
      </c>
      <c r="I237" t="s">
        <v>15</v>
      </c>
      <c r="J237" t="s">
        <v>45</v>
      </c>
      <c r="K237">
        <v>72</v>
      </c>
      <c r="L237">
        <v>6000</v>
      </c>
      <c r="M237" t="s">
        <v>25</v>
      </c>
    </row>
    <row r="238" spans="1:13" x14ac:dyDescent="0.25">
      <c r="A238">
        <v>237</v>
      </c>
      <c r="B238" t="s">
        <v>13</v>
      </c>
      <c r="C238">
        <v>44</v>
      </c>
      <c r="D238" t="s">
        <v>50</v>
      </c>
      <c r="E238">
        <v>6.4</v>
      </c>
      <c r="F238">
        <v>6</v>
      </c>
      <c r="G238">
        <v>45</v>
      </c>
      <c r="H238">
        <v>7</v>
      </c>
      <c r="I238" t="s">
        <v>15</v>
      </c>
      <c r="J238" t="s">
        <v>45</v>
      </c>
      <c r="K238">
        <v>72</v>
      </c>
      <c r="L238">
        <v>6000</v>
      </c>
      <c r="M238" t="s">
        <v>25</v>
      </c>
    </row>
    <row r="239" spans="1:13" x14ac:dyDescent="0.25">
      <c r="A239">
        <v>238</v>
      </c>
      <c r="B239" t="s">
        <v>28</v>
      </c>
      <c r="C239">
        <v>44</v>
      </c>
      <c r="D239" t="s">
        <v>26</v>
      </c>
      <c r="E239">
        <v>6.5</v>
      </c>
      <c r="F239">
        <v>7</v>
      </c>
      <c r="G239">
        <v>45</v>
      </c>
      <c r="H239">
        <v>4</v>
      </c>
      <c r="I239" t="s">
        <v>15</v>
      </c>
      <c r="J239" t="s">
        <v>51</v>
      </c>
      <c r="K239">
        <v>65</v>
      </c>
      <c r="L239">
        <v>6000</v>
      </c>
      <c r="M239" t="s">
        <v>25</v>
      </c>
    </row>
    <row r="240" spans="1:13" x14ac:dyDescent="0.25">
      <c r="A240">
        <v>239</v>
      </c>
      <c r="B240" t="s">
        <v>13</v>
      </c>
      <c r="C240">
        <v>44</v>
      </c>
      <c r="D240" t="s">
        <v>50</v>
      </c>
      <c r="E240">
        <v>6.3</v>
      </c>
      <c r="F240">
        <v>6</v>
      </c>
      <c r="G240">
        <v>45</v>
      </c>
      <c r="H240">
        <v>7</v>
      </c>
      <c r="I240" t="s">
        <v>15</v>
      </c>
      <c r="J240" t="s">
        <v>45</v>
      </c>
      <c r="K240">
        <v>72</v>
      </c>
      <c r="L240">
        <v>6000</v>
      </c>
      <c r="M240" t="s">
        <v>25</v>
      </c>
    </row>
    <row r="241" spans="1:13" x14ac:dyDescent="0.25">
      <c r="A241">
        <v>240</v>
      </c>
      <c r="B241" t="s">
        <v>13</v>
      </c>
      <c r="C241">
        <v>44</v>
      </c>
      <c r="D241" t="s">
        <v>50</v>
      </c>
      <c r="E241">
        <v>6.4</v>
      </c>
      <c r="F241">
        <v>6</v>
      </c>
      <c r="G241">
        <v>45</v>
      </c>
      <c r="H241">
        <v>7</v>
      </c>
      <c r="I241" t="s">
        <v>15</v>
      </c>
      <c r="J241" t="s">
        <v>45</v>
      </c>
      <c r="K241">
        <v>72</v>
      </c>
      <c r="L241">
        <v>6000</v>
      </c>
      <c r="M241" t="s">
        <v>25</v>
      </c>
    </row>
    <row r="242" spans="1:13" x14ac:dyDescent="0.25">
      <c r="A242">
        <v>241</v>
      </c>
      <c r="B242" t="s">
        <v>28</v>
      </c>
      <c r="C242">
        <v>44</v>
      </c>
      <c r="D242" t="s">
        <v>26</v>
      </c>
      <c r="E242">
        <v>6.5</v>
      </c>
      <c r="F242">
        <v>7</v>
      </c>
      <c r="G242">
        <v>45</v>
      </c>
      <c r="H242">
        <v>4</v>
      </c>
      <c r="I242" t="s">
        <v>15</v>
      </c>
      <c r="J242" t="s">
        <v>51</v>
      </c>
      <c r="K242">
        <v>65</v>
      </c>
      <c r="L242">
        <v>6000</v>
      </c>
      <c r="M242" t="s">
        <v>25</v>
      </c>
    </row>
    <row r="243" spans="1:13" x14ac:dyDescent="0.25">
      <c r="A243">
        <v>242</v>
      </c>
      <c r="B243" t="s">
        <v>13</v>
      </c>
      <c r="C243">
        <v>44</v>
      </c>
      <c r="D243" t="s">
        <v>50</v>
      </c>
      <c r="E243">
        <v>6.3</v>
      </c>
      <c r="F243">
        <v>6</v>
      </c>
      <c r="G243">
        <v>45</v>
      </c>
      <c r="H243">
        <v>7</v>
      </c>
      <c r="I243" t="s">
        <v>15</v>
      </c>
      <c r="J243" t="s">
        <v>45</v>
      </c>
      <c r="K243">
        <v>72</v>
      </c>
      <c r="L243">
        <v>6000</v>
      </c>
      <c r="M243" t="s">
        <v>25</v>
      </c>
    </row>
    <row r="244" spans="1:13" x14ac:dyDescent="0.25">
      <c r="A244">
        <v>243</v>
      </c>
      <c r="B244" t="s">
        <v>13</v>
      </c>
      <c r="C244">
        <v>44</v>
      </c>
      <c r="D244" t="s">
        <v>50</v>
      </c>
      <c r="E244">
        <v>6.4</v>
      </c>
      <c r="F244">
        <v>6</v>
      </c>
      <c r="G244">
        <v>45</v>
      </c>
      <c r="H244">
        <v>7</v>
      </c>
      <c r="I244" t="s">
        <v>15</v>
      </c>
      <c r="J244" t="s">
        <v>45</v>
      </c>
      <c r="K244">
        <v>72</v>
      </c>
      <c r="L244">
        <v>6000</v>
      </c>
      <c r="M244" t="s">
        <v>25</v>
      </c>
    </row>
    <row r="245" spans="1:13" x14ac:dyDescent="0.25">
      <c r="A245">
        <v>244</v>
      </c>
      <c r="B245" t="s">
        <v>28</v>
      </c>
      <c r="C245">
        <v>44</v>
      </c>
      <c r="D245" t="s">
        <v>26</v>
      </c>
      <c r="E245">
        <v>6.5</v>
      </c>
      <c r="F245">
        <v>7</v>
      </c>
      <c r="G245">
        <v>45</v>
      </c>
      <c r="H245">
        <v>4</v>
      </c>
      <c r="I245" t="s">
        <v>15</v>
      </c>
      <c r="J245" t="s">
        <v>51</v>
      </c>
      <c r="K245">
        <v>65</v>
      </c>
      <c r="L245">
        <v>6000</v>
      </c>
      <c r="M245" t="s">
        <v>25</v>
      </c>
    </row>
    <row r="246" spans="1:13" x14ac:dyDescent="0.25">
      <c r="A246">
        <v>245</v>
      </c>
      <c r="B246" t="s">
        <v>13</v>
      </c>
      <c r="C246">
        <v>44</v>
      </c>
      <c r="D246" t="s">
        <v>50</v>
      </c>
      <c r="E246">
        <v>6.3</v>
      </c>
      <c r="F246">
        <v>6</v>
      </c>
      <c r="G246">
        <v>45</v>
      </c>
      <c r="H246">
        <v>7</v>
      </c>
      <c r="I246" t="s">
        <v>15</v>
      </c>
      <c r="J246" t="s">
        <v>45</v>
      </c>
      <c r="K246">
        <v>72</v>
      </c>
      <c r="L246">
        <v>6000</v>
      </c>
      <c r="M246" t="s">
        <v>25</v>
      </c>
    </row>
    <row r="247" spans="1:13" x14ac:dyDescent="0.25">
      <c r="A247">
        <v>246</v>
      </c>
      <c r="B247" t="s">
        <v>28</v>
      </c>
      <c r="C247">
        <v>44</v>
      </c>
      <c r="D247" t="s">
        <v>26</v>
      </c>
      <c r="E247">
        <v>6.5</v>
      </c>
      <c r="F247">
        <v>7</v>
      </c>
      <c r="G247">
        <v>45</v>
      </c>
      <c r="H247">
        <v>4</v>
      </c>
      <c r="I247" t="s">
        <v>15</v>
      </c>
      <c r="J247" t="s">
        <v>51</v>
      </c>
      <c r="K247">
        <v>65</v>
      </c>
      <c r="L247">
        <v>6000</v>
      </c>
      <c r="M247" t="s">
        <v>25</v>
      </c>
    </row>
    <row r="248" spans="1:13" x14ac:dyDescent="0.25">
      <c r="A248">
        <v>247</v>
      </c>
      <c r="B248" t="s">
        <v>13</v>
      </c>
      <c r="C248">
        <v>44</v>
      </c>
      <c r="D248" t="s">
        <v>50</v>
      </c>
      <c r="E248">
        <v>6.3</v>
      </c>
      <c r="F248">
        <v>6</v>
      </c>
      <c r="G248">
        <v>45</v>
      </c>
      <c r="H248">
        <v>7</v>
      </c>
      <c r="I248" t="s">
        <v>15</v>
      </c>
      <c r="J248" t="s">
        <v>45</v>
      </c>
      <c r="K248">
        <v>72</v>
      </c>
      <c r="L248">
        <v>6000</v>
      </c>
      <c r="M248" t="s">
        <v>25</v>
      </c>
    </row>
    <row r="249" spans="1:13" x14ac:dyDescent="0.25">
      <c r="A249">
        <v>248</v>
      </c>
      <c r="B249" t="s">
        <v>13</v>
      </c>
      <c r="C249">
        <v>44</v>
      </c>
      <c r="D249" t="s">
        <v>34</v>
      </c>
      <c r="E249">
        <v>6.8</v>
      </c>
      <c r="F249">
        <v>7</v>
      </c>
      <c r="G249">
        <v>45</v>
      </c>
      <c r="H249">
        <v>7</v>
      </c>
      <c r="I249" t="s">
        <v>15</v>
      </c>
      <c r="J249" t="s">
        <v>45</v>
      </c>
      <c r="K249">
        <v>78</v>
      </c>
      <c r="L249">
        <v>5000</v>
      </c>
      <c r="M249" t="s">
        <v>25</v>
      </c>
    </row>
    <row r="250" spans="1:13" x14ac:dyDescent="0.25">
      <c r="A250">
        <v>249</v>
      </c>
      <c r="B250" t="s">
        <v>13</v>
      </c>
      <c r="C250">
        <v>44</v>
      </c>
      <c r="D250" t="s">
        <v>50</v>
      </c>
      <c r="E250">
        <v>6.4</v>
      </c>
      <c r="F250">
        <v>6</v>
      </c>
      <c r="G250">
        <v>45</v>
      </c>
      <c r="H250">
        <v>7</v>
      </c>
      <c r="I250" t="s">
        <v>15</v>
      </c>
      <c r="J250" t="s">
        <v>45</v>
      </c>
      <c r="K250">
        <v>72</v>
      </c>
      <c r="L250">
        <v>6000</v>
      </c>
      <c r="M250" t="s">
        <v>17</v>
      </c>
    </row>
    <row r="251" spans="1:13" x14ac:dyDescent="0.25">
      <c r="A251">
        <v>250</v>
      </c>
      <c r="B251" t="s">
        <v>13</v>
      </c>
      <c r="C251">
        <v>44</v>
      </c>
      <c r="D251" t="s">
        <v>50</v>
      </c>
      <c r="E251">
        <v>6.5</v>
      </c>
      <c r="F251">
        <v>6</v>
      </c>
      <c r="G251">
        <v>45</v>
      </c>
      <c r="H251">
        <v>7</v>
      </c>
      <c r="I251" t="s">
        <v>15</v>
      </c>
      <c r="J251" t="s">
        <v>45</v>
      </c>
      <c r="K251">
        <v>72</v>
      </c>
      <c r="L251">
        <v>6000</v>
      </c>
      <c r="M251" t="s">
        <v>17</v>
      </c>
    </row>
    <row r="252" spans="1:13" x14ac:dyDescent="0.25">
      <c r="A252">
        <v>251</v>
      </c>
      <c r="B252" t="s">
        <v>28</v>
      </c>
      <c r="C252">
        <v>45</v>
      </c>
      <c r="D252" t="s">
        <v>26</v>
      </c>
      <c r="E252">
        <v>6.8</v>
      </c>
      <c r="F252">
        <v>7</v>
      </c>
      <c r="G252">
        <v>30</v>
      </c>
      <c r="H252">
        <v>6</v>
      </c>
      <c r="I252" t="s">
        <v>15</v>
      </c>
      <c r="J252" t="s">
        <v>51</v>
      </c>
      <c r="K252">
        <v>65</v>
      </c>
      <c r="L252">
        <v>6000</v>
      </c>
      <c r="M252" t="s">
        <v>25</v>
      </c>
    </row>
    <row r="253" spans="1:13" x14ac:dyDescent="0.25">
      <c r="A253">
        <v>252</v>
      </c>
      <c r="B253" t="s">
        <v>28</v>
      </c>
      <c r="C253">
        <v>45</v>
      </c>
      <c r="D253" t="s">
        <v>26</v>
      </c>
      <c r="E253">
        <v>6.8</v>
      </c>
      <c r="F253">
        <v>7</v>
      </c>
      <c r="G253">
        <v>30</v>
      </c>
      <c r="H253">
        <v>6</v>
      </c>
      <c r="I253" t="s">
        <v>15</v>
      </c>
      <c r="J253" t="s">
        <v>51</v>
      </c>
      <c r="K253">
        <v>65</v>
      </c>
      <c r="L253">
        <v>6000</v>
      </c>
      <c r="M253" t="s">
        <v>25</v>
      </c>
    </row>
    <row r="254" spans="1:13" x14ac:dyDescent="0.25">
      <c r="A254">
        <v>253</v>
      </c>
      <c r="B254" t="s">
        <v>28</v>
      </c>
      <c r="C254">
        <v>45</v>
      </c>
      <c r="D254" t="s">
        <v>26</v>
      </c>
      <c r="E254">
        <v>6.5</v>
      </c>
      <c r="F254">
        <v>7</v>
      </c>
      <c r="G254">
        <v>45</v>
      </c>
      <c r="H254">
        <v>4</v>
      </c>
      <c r="I254" t="s">
        <v>15</v>
      </c>
      <c r="J254" t="s">
        <v>51</v>
      </c>
      <c r="K254">
        <v>65</v>
      </c>
      <c r="L254">
        <v>6000</v>
      </c>
      <c r="M254" t="s">
        <v>25</v>
      </c>
    </row>
    <row r="255" spans="1:13" x14ac:dyDescent="0.25">
      <c r="A255">
        <v>254</v>
      </c>
      <c r="B255" t="s">
        <v>28</v>
      </c>
      <c r="C255">
        <v>45</v>
      </c>
      <c r="D255" t="s">
        <v>26</v>
      </c>
      <c r="E255">
        <v>6.5</v>
      </c>
      <c r="F255">
        <v>7</v>
      </c>
      <c r="G255">
        <v>45</v>
      </c>
      <c r="H255">
        <v>4</v>
      </c>
      <c r="I255" t="s">
        <v>15</v>
      </c>
      <c r="J255" t="s">
        <v>51</v>
      </c>
      <c r="K255">
        <v>65</v>
      </c>
      <c r="L255">
        <v>6000</v>
      </c>
      <c r="M255" t="s">
        <v>25</v>
      </c>
    </row>
    <row r="256" spans="1:13" x14ac:dyDescent="0.25">
      <c r="A256">
        <v>255</v>
      </c>
      <c r="B256" t="s">
        <v>28</v>
      </c>
      <c r="C256">
        <v>45</v>
      </c>
      <c r="D256" t="s">
        <v>26</v>
      </c>
      <c r="E256">
        <v>6.5</v>
      </c>
      <c r="F256">
        <v>7</v>
      </c>
      <c r="G256">
        <v>45</v>
      </c>
      <c r="H256">
        <v>4</v>
      </c>
      <c r="I256" t="s">
        <v>15</v>
      </c>
      <c r="J256" t="s">
        <v>51</v>
      </c>
      <c r="K256">
        <v>65</v>
      </c>
      <c r="L256">
        <v>6000</v>
      </c>
      <c r="M256" t="s">
        <v>25</v>
      </c>
    </row>
    <row r="257" spans="1:13" x14ac:dyDescent="0.25">
      <c r="A257">
        <v>256</v>
      </c>
      <c r="B257" t="s">
        <v>28</v>
      </c>
      <c r="C257">
        <v>45</v>
      </c>
      <c r="D257" t="s">
        <v>26</v>
      </c>
      <c r="E257">
        <v>6.5</v>
      </c>
      <c r="F257">
        <v>7</v>
      </c>
      <c r="G257">
        <v>45</v>
      </c>
      <c r="H257">
        <v>4</v>
      </c>
      <c r="I257" t="s">
        <v>15</v>
      </c>
      <c r="J257" t="s">
        <v>51</v>
      </c>
      <c r="K257">
        <v>65</v>
      </c>
      <c r="L257">
        <v>6000</v>
      </c>
      <c r="M257" t="s">
        <v>25</v>
      </c>
    </row>
    <row r="258" spans="1:13" x14ac:dyDescent="0.25">
      <c r="A258">
        <v>257</v>
      </c>
      <c r="B258" t="s">
        <v>28</v>
      </c>
      <c r="C258">
        <v>45</v>
      </c>
      <c r="D258" t="s">
        <v>26</v>
      </c>
      <c r="E258">
        <v>6.6</v>
      </c>
      <c r="F258">
        <v>7</v>
      </c>
      <c r="G258">
        <v>45</v>
      </c>
      <c r="H258">
        <v>4</v>
      </c>
      <c r="I258" t="s">
        <v>15</v>
      </c>
      <c r="J258" t="s">
        <v>51</v>
      </c>
      <c r="K258">
        <v>65</v>
      </c>
      <c r="L258">
        <v>6000</v>
      </c>
      <c r="M258" t="s">
        <v>25</v>
      </c>
    </row>
    <row r="259" spans="1:13" x14ac:dyDescent="0.25">
      <c r="A259">
        <v>258</v>
      </c>
      <c r="B259" t="s">
        <v>28</v>
      </c>
      <c r="C259">
        <v>45</v>
      </c>
      <c r="D259" t="s">
        <v>26</v>
      </c>
      <c r="E259">
        <v>6.6</v>
      </c>
      <c r="F259">
        <v>7</v>
      </c>
      <c r="G259">
        <v>45</v>
      </c>
      <c r="H259">
        <v>4</v>
      </c>
      <c r="I259" t="s">
        <v>15</v>
      </c>
      <c r="J259" t="s">
        <v>51</v>
      </c>
      <c r="K259">
        <v>65</v>
      </c>
      <c r="L259">
        <v>6000</v>
      </c>
      <c r="M259" t="s">
        <v>25</v>
      </c>
    </row>
    <row r="260" spans="1:13" x14ac:dyDescent="0.25">
      <c r="A260">
        <v>259</v>
      </c>
      <c r="B260" t="s">
        <v>28</v>
      </c>
      <c r="C260">
        <v>45</v>
      </c>
      <c r="D260" t="s">
        <v>26</v>
      </c>
      <c r="E260">
        <v>6.6</v>
      </c>
      <c r="F260">
        <v>7</v>
      </c>
      <c r="G260">
        <v>45</v>
      </c>
      <c r="H260">
        <v>4</v>
      </c>
      <c r="I260" t="s">
        <v>15</v>
      </c>
      <c r="J260" t="s">
        <v>51</v>
      </c>
      <c r="K260">
        <v>65</v>
      </c>
      <c r="L260">
        <v>6000</v>
      </c>
      <c r="M260" t="s">
        <v>25</v>
      </c>
    </row>
    <row r="261" spans="1:13" x14ac:dyDescent="0.25">
      <c r="A261">
        <v>260</v>
      </c>
      <c r="B261" t="s">
        <v>28</v>
      </c>
      <c r="C261">
        <v>45</v>
      </c>
      <c r="D261" t="s">
        <v>26</v>
      </c>
      <c r="E261">
        <v>6.6</v>
      </c>
      <c r="F261">
        <v>7</v>
      </c>
      <c r="G261">
        <v>45</v>
      </c>
      <c r="H261">
        <v>4</v>
      </c>
      <c r="I261" t="s">
        <v>15</v>
      </c>
      <c r="J261" t="s">
        <v>51</v>
      </c>
      <c r="K261">
        <v>65</v>
      </c>
      <c r="L261">
        <v>6000</v>
      </c>
      <c r="M261" t="s">
        <v>25</v>
      </c>
    </row>
    <row r="262" spans="1:13" x14ac:dyDescent="0.25">
      <c r="A262">
        <v>261</v>
      </c>
      <c r="B262" t="s">
        <v>28</v>
      </c>
      <c r="C262">
        <v>45</v>
      </c>
      <c r="D262" t="s">
        <v>26</v>
      </c>
      <c r="E262">
        <v>6.6</v>
      </c>
      <c r="F262">
        <v>7</v>
      </c>
      <c r="G262">
        <v>45</v>
      </c>
      <c r="H262">
        <v>4</v>
      </c>
      <c r="I262" t="s">
        <v>15</v>
      </c>
      <c r="J262" t="s">
        <v>51</v>
      </c>
      <c r="K262">
        <v>65</v>
      </c>
      <c r="L262">
        <v>6000</v>
      </c>
      <c r="M262" t="s">
        <v>25</v>
      </c>
    </row>
    <row r="263" spans="1:13" x14ac:dyDescent="0.25">
      <c r="A263">
        <v>262</v>
      </c>
      <c r="B263" t="s">
        <v>28</v>
      </c>
      <c r="C263">
        <v>45</v>
      </c>
      <c r="D263" t="s">
        <v>26</v>
      </c>
      <c r="E263">
        <v>6.6</v>
      </c>
      <c r="F263">
        <v>7</v>
      </c>
      <c r="G263">
        <v>45</v>
      </c>
      <c r="H263">
        <v>4</v>
      </c>
      <c r="I263" t="s">
        <v>15</v>
      </c>
      <c r="J263" t="s">
        <v>51</v>
      </c>
      <c r="K263">
        <v>65</v>
      </c>
      <c r="L263">
        <v>6000</v>
      </c>
      <c r="M263" t="s">
        <v>17</v>
      </c>
    </row>
    <row r="264" spans="1:13" x14ac:dyDescent="0.25">
      <c r="A264">
        <v>263</v>
      </c>
      <c r="B264" t="s">
        <v>28</v>
      </c>
      <c r="C264">
        <v>45</v>
      </c>
      <c r="D264" t="s">
        <v>26</v>
      </c>
      <c r="E264">
        <v>6.6</v>
      </c>
      <c r="F264">
        <v>7</v>
      </c>
      <c r="G264">
        <v>45</v>
      </c>
      <c r="H264">
        <v>4</v>
      </c>
      <c r="I264" t="s">
        <v>15</v>
      </c>
      <c r="J264" t="s">
        <v>51</v>
      </c>
      <c r="K264">
        <v>65</v>
      </c>
      <c r="L264">
        <v>6000</v>
      </c>
      <c r="M264" t="s">
        <v>17</v>
      </c>
    </row>
    <row r="265" spans="1:13" x14ac:dyDescent="0.25">
      <c r="A265">
        <v>264</v>
      </c>
      <c r="B265" t="s">
        <v>28</v>
      </c>
      <c r="C265">
        <v>45</v>
      </c>
      <c r="D265" t="s">
        <v>53</v>
      </c>
      <c r="E265">
        <v>6.9</v>
      </c>
      <c r="F265">
        <v>7</v>
      </c>
      <c r="G265">
        <v>55</v>
      </c>
      <c r="H265">
        <v>5</v>
      </c>
      <c r="I265" t="s">
        <v>15</v>
      </c>
      <c r="J265" t="s">
        <v>49</v>
      </c>
      <c r="K265">
        <v>75</v>
      </c>
      <c r="L265">
        <v>5500</v>
      </c>
      <c r="M265" t="s">
        <v>17</v>
      </c>
    </row>
    <row r="266" spans="1:13" x14ac:dyDescent="0.25">
      <c r="A266">
        <v>265</v>
      </c>
      <c r="B266" t="s">
        <v>13</v>
      </c>
      <c r="C266">
        <v>48</v>
      </c>
      <c r="D266" t="s">
        <v>18</v>
      </c>
      <c r="E266">
        <v>7.3</v>
      </c>
      <c r="F266">
        <v>7</v>
      </c>
      <c r="G266">
        <v>65</v>
      </c>
      <c r="H266">
        <v>5</v>
      </c>
      <c r="I266" t="s">
        <v>22</v>
      </c>
      <c r="J266" t="s">
        <v>54</v>
      </c>
      <c r="K266">
        <v>83</v>
      </c>
      <c r="L266">
        <v>3500</v>
      </c>
      <c r="M266" t="s">
        <v>25</v>
      </c>
    </row>
    <row r="267" spans="1:13" x14ac:dyDescent="0.25">
      <c r="A267">
        <v>266</v>
      </c>
      <c r="B267" t="s">
        <v>28</v>
      </c>
      <c r="C267">
        <v>48</v>
      </c>
      <c r="D267" t="s">
        <v>29</v>
      </c>
      <c r="E267">
        <v>5.9</v>
      </c>
      <c r="F267">
        <v>6</v>
      </c>
      <c r="G267">
        <v>90</v>
      </c>
      <c r="H267">
        <v>8</v>
      </c>
      <c r="I267" t="s">
        <v>15</v>
      </c>
      <c r="J267" t="s">
        <v>55</v>
      </c>
      <c r="K267">
        <v>75</v>
      </c>
      <c r="L267">
        <v>10000</v>
      </c>
      <c r="M267" t="s">
        <v>24</v>
      </c>
    </row>
    <row r="268" spans="1:13" x14ac:dyDescent="0.25">
      <c r="A268">
        <v>267</v>
      </c>
      <c r="B268" t="s">
        <v>13</v>
      </c>
      <c r="C268">
        <v>48</v>
      </c>
      <c r="D268" t="s">
        <v>18</v>
      </c>
      <c r="E268">
        <v>7.3</v>
      </c>
      <c r="F268">
        <v>7</v>
      </c>
      <c r="G268">
        <v>65</v>
      </c>
      <c r="H268">
        <v>5</v>
      </c>
      <c r="I268" t="s">
        <v>22</v>
      </c>
      <c r="J268" t="s">
        <v>54</v>
      </c>
      <c r="K268">
        <v>83</v>
      </c>
      <c r="L268">
        <v>3500</v>
      </c>
      <c r="M268" t="s">
        <v>25</v>
      </c>
    </row>
    <row r="269" spans="1:13" x14ac:dyDescent="0.25">
      <c r="A269">
        <v>268</v>
      </c>
      <c r="B269" t="s">
        <v>28</v>
      </c>
      <c r="C269">
        <v>49</v>
      </c>
      <c r="D269" t="s">
        <v>29</v>
      </c>
      <c r="E269">
        <v>6.2</v>
      </c>
      <c r="F269">
        <v>6</v>
      </c>
      <c r="G269">
        <v>90</v>
      </c>
      <c r="H269">
        <v>8</v>
      </c>
      <c r="I269" t="s">
        <v>15</v>
      </c>
      <c r="J269" t="s">
        <v>55</v>
      </c>
      <c r="K269">
        <v>75</v>
      </c>
      <c r="L269">
        <v>10000</v>
      </c>
      <c r="M269" t="s">
        <v>17</v>
      </c>
    </row>
    <row r="270" spans="1:13" x14ac:dyDescent="0.25">
      <c r="A270">
        <v>269</v>
      </c>
      <c r="B270" t="s">
        <v>28</v>
      </c>
      <c r="C270">
        <v>49</v>
      </c>
      <c r="D270" t="s">
        <v>29</v>
      </c>
      <c r="E270">
        <v>6</v>
      </c>
      <c r="F270">
        <v>6</v>
      </c>
      <c r="G270">
        <v>90</v>
      </c>
      <c r="H270">
        <v>8</v>
      </c>
      <c r="I270" t="s">
        <v>15</v>
      </c>
      <c r="J270" t="s">
        <v>55</v>
      </c>
      <c r="K270">
        <v>75</v>
      </c>
      <c r="L270">
        <v>10000</v>
      </c>
      <c r="M270" t="s">
        <v>24</v>
      </c>
    </row>
    <row r="271" spans="1:13" x14ac:dyDescent="0.25">
      <c r="A271">
        <v>270</v>
      </c>
      <c r="B271" t="s">
        <v>28</v>
      </c>
      <c r="C271">
        <v>49</v>
      </c>
      <c r="D271" t="s">
        <v>29</v>
      </c>
      <c r="E271">
        <v>6.1</v>
      </c>
      <c r="F271">
        <v>6</v>
      </c>
      <c r="G271">
        <v>90</v>
      </c>
      <c r="H271">
        <v>8</v>
      </c>
      <c r="I271" t="s">
        <v>15</v>
      </c>
      <c r="J271" t="s">
        <v>55</v>
      </c>
      <c r="K271">
        <v>75</v>
      </c>
      <c r="L271">
        <v>10000</v>
      </c>
      <c r="M271" t="s">
        <v>24</v>
      </c>
    </row>
    <row r="272" spans="1:13" x14ac:dyDescent="0.25">
      <c r="A272">
        <v>271</v>
      </c>
      <c r="B272" t="s">
        <v>28</v>
      </c>
      <c r="C272">
        <v>49</v>
      </c>
      <c r="D272" t="s">
        <v>29</v>
      </c>
      <c r="E272">
        <v>6.1</v>
      </c>
      <c r="F272">
        <v>6</v>
      </c>
      <c r="G272">
        <v>90</v>
      </c>
      <c r="H272">
        <v>8</v>
      </c>
      <c r="I272" t="s">
        <v>15</v>
      </c>
      <c r="J272" t="s">
        <v>55</v>
      </c>
      <c r="K272">
        <v>75</v>
      </c>
      <c r="L272">
        <v>10000</v>
      </c>
      <c r="M272" t="s">
        <v>24</v>
      </c>
    </row>
    <row r="273" spans="1:13" x14ac:dyDescent="0.25">
      <c r="A273">
        <v>272</v>
      </c>
      <c r="B273" t="s">
        <v>28</v>
      </c>
      <c r="C273">
        <v>49</v>
      </c>
      <c r="D273" t="s">
        <v>29</v>
      </c>
      <c r="E273">
        <v>6.1</v>
      </c>
      <c r="F273">
        <v>6</v>
      </c>
      <c r="G273">
        <v>90</v>
      </c>
      <c r="H273">
        <v>8</v>
      </c>
      <c r="I273" t="s">
        <v>15</v>
      </c>
      <c r="J273" t="s">
        <v>55</v>
      </c>
      <c r="K273">
        <v>75</v>
      </c>
      <c r="L273">
        <v>10000</v>
      </c>
      <c r="M273" t="s">
        <v>24</v>
      </c>
    </row>
    <row r="274" spans="1:13" x14ac:dyDescent="0.25">
      <c r="A274">
        <v>273</v>
      </c>
      <c r="B274" t="s">
        <v>28</v>
      </c>
      <c r="C274">
        <v>49</v>
      </c>
      <c r="D274" t="s">
        <v>29</v>
      </c>
      <c r="E274">
        <v>6.1</v>
      </c>
      <c r="F274">
        <v>6</v>
      </c>
      <c r="G274">
        <v>90</v>
      </c>
      <c r="H274">
        <v>8</v>
      </c>
      <c r="I274" t="s">
        <v>15</v>
      </c>
      <c r="J274" t="s">
        <v>55</v>
      </c>
      <c r="K274">
        <v>75</v>
      </c>
      <c r="L274">
        <v>10000</v>
      </c>
      <c r="M274" t="s">
        <v>24</v>
      </c>
    </row>
    <row r="275" spans="1:13" x14ac:dyDescent="0.25">
      <c r="A275">
        <v>274</v>
      </c>
      <c r="B275" t="s">
        <v>28</v>
      </c>
      <c r="C275">
        <v>49</v>
      </c>
      <c r="D275" t="s">
        <v>29</v>
      </c>
      <c r="E275">
        <v>6.2</v>
      </c>
      <c r="F275">
        <v>6</v>
      </c>
      <c r="G275">
        <v>90</v>
      </c>
      <c r="H275">
        <v>8</v>
      </c>
      <c r="I275" t="s">
        <v>15</v>
      </c>
      <c r="J275" t="s">
        <v>55</v>
      </c>
      <c r="K275">
        <v>75</v>
      </c>
      <c r="L275">
        <v>10000</v>
      </c>
      <c r="M275" t="s">
        <v>24</v>
      </c>
    </row>
    <row r="276" spans="1:13" x14ac:dyDescent="0.25">
      <c r="A276">
        <v>275</v>
      </c>
      <c r="B276" t="s">
        <v>28</v>
      </c>
      <c r="C276">
        <v>49</v>
      </c>
      <c r="D276" t="s">
        <v>29</v>
      </c>
      <c r="E276">
        <v>6.2</v>
      </c>
      <c r="F276">
        <v>6</v>
      </c>
      <c r="G276">
        <v>90</v>
      </c>
      <c r="H276">
        <v>8</v>
      </c>
      <c r="I276" t="s">
        <v>15</v>
      </c>
      <c r="J276" t="s">
        <v>55</v>
      </c>
      <c r="K276">
        <v>75</v>
      </c>
      <c r="L276">
        <v>10000</v>
      </c>
      <c r="M276" t="s">
        <v>24</v>
      </c>
    </row>
    <row r="277" spans="1:13" x14ac:dyDescent="0.25">
      <c r="A277">
        <v>276</v>
      </c>
      <c r="B277" t="s">
        <v>28</v>
      </c>
      <c r="C277">
        <v>49</v>
      </c>
      <c r="D277" t="s">
        <v>29</v>
      </c>
      <c r="E277">
        <v>6.2</v>
      </c>
      <c r="F277">
        <v>6</v>
      </c>
      <c r="G277">
        <v>90</v>
      </c>
      <c r="H277">
        <v>8</v>
      </c>
      <c r="I277" t="s">
        <v>15</v>
      </c>
      <c r="J277" t="s">
        <v>55</v>
      </c>
      <c r="K277">
        <v>75</v>
      </c>
      <c r="L277">
        <v>10000</v>
      </c>
      <c r="M277" t="s">
        <v>24</v>
      </c>
    </row>
    <row r="278" spans="1:13" x14ac:dyDescent="0.25">
      <c r="A278">
        <v>277</v>
      </c>
      <c r="B278" t="s">
        <v>13</v>
      </c>
      <c r="C278">
        <v>49</v>
      </c>
      <c r="D278" t="s">
        <v>18</v>
      </c>
      <c r="E278">
        <v>8.1</v>
      </c>
      <c r="F278">
        <v>9</v>
      </c>
      <c r="G278">
        <v>85</v>
      </c>
      <c r="H278">
        <v>3</v>
      </c>
      <c r="I278" t="s">
        <v>22</v>
      </c>
      <c r="J278" t="s">
        <v>56</v>
      </c>
      <c r="K278">
        <v>86</v>
      </c>
      <c r="L278">
        <v>3700</v>
      </c>
      <c r="M278" t="s">
        <v>24</v>
      </c>
    </row>
    <row r="279" spans="1:13" x14ac:dyDescent="0.25">
      <c r="A279">
        <v>278</v>
      </c>
      <c r="B279" t="s">
        <v>13</v>
      </c>
      <c r="C279">
        <v>49</v>
      </c>
      <c r="D279" t="s">
        <v>18</v>
      </c>
      <c r="E279">
        <v>8.1</v>
      </c>
      <c r="F279">
        <v>9</v>
      </c>
      <c r="G279">
        <v>85</v>
      </c>
      <c r="H279">
        <v>3</v>
      </c>
      <c r="I279" t="s">
        <v>22</v>
      </c>
      <c r="J279" t="s">
        <v>56</v>
      </c>
      <c r="K279">
        <v>86</v>
      </c>
      <c r="L279">
        <v>3700</v>
      </c>
      <c r="M279" t="s">
        <v>24</v>
      </c>
    </row>
    <row r="280" spans="1:13" x14ac:dyDescent="0.25">
      <c r="A280">
        <v>279</v>
      </c>
      <c r="B280" t="s">
        <v>28</v>
      </c>
      <c r="C280">
        <v>50</v>
      </c>
      <c r="D280" t="s">
        <v>29</v>
      </c>
      <c r="E280">
        <v>6.1</v>
      </c>
      <c r="F280">
        <v>6</v>
      </c>
      <c r="G280">
        <v>90</v>
      </c>
      <c r="H280">
        <v>8</v>
      </c>
      <c r="I280" t="s">
        <v>15</v>
      </c>
      <c r="J280" t="s">
        <v>55</v>
      </c>
      <c r="K280">
        <v>75</v>
      </c>
      <c r="L280">
        <v>10000</v>
      </c>
      <c r="M280" t="s">
        <v>25</v>
      </c>
    </row>
    <row r="281" spans="1:13" x14ac:dyDescent="0.25">
      <c r="A281">
        <v>280</v>
      </c>
      <c r="B281" t="s">
        <v>28</v>
      </c>
      <c r="C281">
        <v>50</v>
      </c>
      <c r="D281" t="s">
        <v>34</v>
      </c>
      <c r="E281">
        <v>8.3000000000000007</v>
      </c>
      <c r="F281">
        <v>9</v>
      </c>
      <c r="G281">
        <v>30</v>
      </c>
      <c r="H281">
        <v>3</v>
      </c>
      <c r="I281" t="s">
        <v>19</v>
      </c>
      <c r="J281" t="s">
        <v>20</v>
      </c>
      <c r="K281">
        <v>65</v>
      </c>
      <c r="L281">
        <v>5000</v>
      </c>
      <c r="M281" t="s">
        <v>17</v>
      </c>
    </row>
    <row r="282" spans="1:13" x14ac:dyDescent="0.25">
      <c r="A282">
        <v>281</v>
      </c>
      <c r="B282" t="s">
        <v>28</v>
      </c>
      <c r="C282">
        <v>50</v>
      </c>
      <c r="D282" t="s">
        <v>29</v>
      </c>
      <c r="E282">
        <v>6</v>
      </c>
      <c r="F282">
        <v>6</v>
      </c>
      <c r="G282">
        <v>90</v>
      </c>
      <c r="H282">
        <v>8</v>
      </c>
      <c r="I282" t="s">
        <v>15</v>
      </c>
      <c r="J282" t="s">
        <v>55</v>
      </c>
      <c r="K282">
        <v>75</v>
      </c>
      <c r="L282">
        <v>10000</v>
      </c>
      <c r="M282" t="s">
        <v>17</v>
      </c>
    </row>
    <row r="283" spans="1:13" x14ac:dyDescent="0.25">
      <c r="A283">
        <v>282</v>
      </c>
      <c r="B283" t="s">
        <v>28</v>
      </c>
      <c r="C283">
        <v>50</v>
      </c>
      <c r="D283" t="s">
        <v>29</v>
      </c>
      <c r="E283">
        <v>6.1</v>
      </c>
      <c r="F283">
        <v>6</v>
      </c>
      <c r="G283">
        <v>90</v>
      </c>
      <c r="H283">
        <v>8</v>
      </c>
      <c r="I283" t="s">
        <v>15</v>
      </c>
      <c r="J283" t="s">
        <v>55</v>
      </c>
      <c r="K283">
        <v>75</v>
      </c>
      <c r="L283">
        <v>10000</v>
      </c>
      <c r="M283" t="s">
        <v>24</v>
      </c>
    </row>
    <row r="284" spans="1:13" x14ac:dyDescent="0.25">
      <c r="A284">
        <v>283</v>
      </c>
      <c r="B284" t="s">
        <v>28</v>
      </c>
      <c r="C284">
        <v>50</v>
      </c>
      <c r="D284" t="s">
        <v>29</v>
      </c>
      <c r="E284">
        <v>6</v>
      </c>
      <c r="F284">
        <v>6</v>
      </c>
      <c r="G284">
        <v>90</v>
      </c>
      <c r="H284">
        <v>8</v>
      </c>
      <c r="I284" t="s">
        <v>15</v>
      </c>
      <c r="J284" t="s">
        <v>55</v>
      </c>
      <c r="K284">
        <v>75</v>
      </c>
      <c r="L284">
        <v>10000</v>
      </c>
      <c r="M284" t="s">
        <v>24</v>
      </c>
    </row>
    <row r="285" spans="1:13" x14ac:dyDescent="0.25">
      <c r="A285">
        <v>284</v>
      </c>
      <c r="B285" t="s">
        <v>28</v>
      </c>
      <c r="C285">
        <v>50</v>
      </c>
      <c r="D285" t="s">
        <v>29</v>
      </c>
      <c r="E285">
        <v>6</v>
      </c>
      <c r="F285">
        <v>6</v>
      </c>
      <c r="G285">
        <v>90</v>
      </c>
      <c r="H285">
        <v>8</v>
      </c>
      <c r="I285" t="s">
        <v>15</v>
      </c>
      <c r="J285" t="s">
        <v>55</v>
      </c>
      <c r="K285">
        <v>75</v>
      </c>
      <c r="L285">
        <v>10000</v>
      </c>
      <c r="M285" t="s">
        <v>24</v>
      </c>
    </row>
    <row r="286" spans="1:13" x14ac:dyDescent="0.25">
      <c r="A286">
        <v>285</v>
      </c>
      <c r="B286" t="s">
        <v>28</v>
      </c>
      <c r="C286">
        <v>50</v>
      </c>
      <c r="D286" t="s">
        <v>29</v>
      </c>
      <c r="E286">
        <v>6</v>
      </c>
      <c r="F286">
        <v>6</v>
      </c>
      <c r="G286">
        <v>90</v>
      </c>
      <c r="H286">
        <v>8</v>
      </c>
      <c r="I286" t="s">
        <v>15</v>
      </c>
      <c r="J286" t="s">
        <v>55</v>
      </c>
      <c r="K286">
        <v>75</v>
      </c>
      <c r="L286">
        <v>10000</v>
      </c>
      <c r="M286" t="s">
        <v>24</v>
      </c>
    </row>
    <row r="287" spans="1:13" x14ac:dyDescent="0.25">
      <c r="A287">
        <v>286</v>
      </c>
      <c r="B287" t="s">
        <v>28</v>
      </c>
      <c r="C287">
        <v>50</v>
      </c>
      <c r="D287" t="s">
        <v>29</v>
      </c>
      <c r="E287">
        <v>6</v>
      </c>
      <c r="F287">
        <v>6</v>
      </c>
      <c r="G287">
        <v>90</v>
      </c>
      <c r="H287">
        <v>8</v>
      </c>
      <c r="I287" t="s">
        <v>15</v>
      </c>
      <c r="J287" t="s">
        <v>55</v>
      </c>
      <c r="K287">
        <v>75</v>
      </c>
      <c r="L287">
        <v>10000</v>
      </c>
      <c r="M287" t="s">
        <v>24</v>
      </c>
    </row>
    <row r="288" spans="1:13" x14ac:dyDescent="0.25">
      <c r="A288">
        <v>287</v>
      </c>
      <c r="B288" t="s">
        <v>28</v>
      </c>
      <c r="C288">
        <v>50</v>
      </c>
      <c r="D288" t="s">
        <v>29</v>
      </c>
      <c r="E288">
        <v>6</v>
      </c>
      <c r="F288">
        <v>6</v>
      </c>
      <c r="G288">
        <v>90</v>
      </c>
      <c r="H288">
        <v>8</v>
      </c>
      <c r="I288" t="s">
        <v>15</v>
      </c>
      <c r="J288" t="s">
        <v>55</v>
      </c>
      <c r="K288">
        <v>75</v>
      </c>
      <c r="L288">
        <v>10000</v>
      </c>
      <c r="M288" t="s">
        <v>24</v>
      </c>
    </row>
    <row r="289" spans="1:13" x14ac:dyDescent="0.25">
      <c r="A289">
        <v>288</v>
      </c>
      <c r="B289" t="s">
        <v>28</v>
      </c>
      <c r="C289">
        <v>50</v>
      </c>
      <c r="D289" t="s">
        <v>29</v>
      </c>
      <c r="E289">
        <v>6</v>
      </c>
      <c r="F289">
        <v>6</v>
      </c>
      <c r="G289">
        <v>90</v>
      </c>
      <c r="H289">
        <v>8</v>
      </c>
      <c r="I289" t="s">
        <v>15</v>
      </c>
      <c r="J289" t="s">
        <v>55</v>
      </c>
      <c r="K289">
        <v>75</v>
      </c>
      <c r="L289">
        <v>10000</v>
      </c>
      <c r="M289" t="s">
        <v>24</v>
      </c>
    </row>
    <row r="290" spans="1:13" x14ac:dyDescent="0.25">
      <c r="A290">
        <v>289</v>
      </c>
      <c r="B290" t="s">
        <v>28</v>
      </c>
      <c r="C290">
        <v>50</v>
      </c>
      <c r="D290" t="s">
        <v>29</v>
      </c>
      <c r="E290">
        <v>6</v>
      </c>
      <c r="F290">
        <v>6</v>
      </c>
      <c r="G290">
        <v>90</v>
      </c>
      <c r="H290">
        <v>8</v>
      </c>
      <c r="I290" t="s">
        <v>15</v>
      </c>
      <c r="J290" t="s">
        <v>55</v>
      </c>
      <c r="K290">
        <v>75</v>
      </c>
      <c r="L290">
        <v>10000</v>
      </c>
      <c r="M290" t="s">
        <v>24</v>
      </c>
    </row>
    <row r="291" spans="1:13" x14ac:dyDescent="0.25">
      <c r="A291">
        <v>290</v>
      </c>
      <c r="B291" t="s">
        <v>28</v>
      </c>
      <c r="C291">
        <v>50</v>
      </c>
      <c r="D291" t="s">
        <v>29</v>
      </c>
      <c r="E291">
        <v>6.1</v>
      </c>
      <c r="F291">
        <v>6</v>
      </c>
      <c r="G291">
        <v>90</v>
      </c>
      <c r="H291">
        <v>8</v>
      </c>
      <c r="I291" t="s">
        <v>15</v>
      </c>
      <c r="J291" t="s">
        <v>55</v>
      </c>
      <c r="K291">
        <v>75</v>
      </c>
      <c r="L291">
        <v>10000</v>
      </c>
      <c r="M291" t="s">
        <v>24</v>
      </c>
    </row>
    <row r="292" spans="1:13" x14ac:dyDescent="0.25">
      <c r="A292">
        <v>291</v>
      </c>
      <c r="B292" t="s">
        <v>28</v>
      </c>
      <c r="C292">
        <v>50</v>
      </c>
      <c r="D292" t="s">
        <v>29</v>
      </c>
      <c r="E292">
        <v>6</v>
      </c>
      <c r="F292">
        <v>6</v>
      </c>
      <c r="G292">
        <v>90</v>
      </c>
      <c r="H292">
        <v>8</v>
      </c>
      <c r="I292" t="s">
        <v>15</v>
      </c>
      <c r="J292" t="s">
        <v>55</v>
      </c>
      <c r="K292">
        <v>75</v>
      </c>
      <c r="L292">
        <v>10000</v>
      </c>
      <c r="M292" t="s">
        <v>24</v>
      </c>
    </row>
    <row r="293" spans="1:13" x14ac:dyDescent="0.25">
      <c r="A293">
        <v>292</v>
      </c>
      <c r="B293" t="s">
        <v>28</v>
      </c>
      <c r="C293">
        <v>50</v>
      </c>
      <c r="D293" t="s">
        <v>29</v>
      </c>
      <c r="E293">
        <v>6.1</v>
      </c>
      <c r="F293">
        <v>6</v>
      </c>
      <c r="G293">
        <v>90</v>
      </c>
      <c r="H293">
        <v>8</v>
      </c>
      <c r="I293" t="s">
        <v>15</v>
      </c>
      <c r="J293" t="s">
        <v>55</v>
      </c>
      <c r="K293">
        <v>75</v>
      </c>
      <c r="L293">
        <v>10000</v>
      </c>
      <c r="M293" t="s">
        <v>24</v>
      </c>
    </row>
    <row r="294" spans="1:13" x14ac:dyDescent="0.25">
      <c r="A294">
        <v>293</v>
      </c>
      <c r="B294" t="s">
        <v>28</v>
      </c>
      <c r="C294">
        <v>50</v>
      </c>
      <c r="D294" t="s">
        <v>29</v>
      </c>
      <c r="E294">
        <v>6.1</v>
      </c>
      <c r="F294">
        <v>6</v>
      </c>
      <c r="G294">
        <v>90</v>
      </c>
      <c r="H294">
        <v>8</v>
      </c>
      <c r="I294" t="s">
        <v>15</v>
      </c>
      <c r="J294" t="s">
        <v>55</v>
      </c>
      <c r="K294">
        <v>75</v>
      </c>
      <c r="L294">
        <v>10000</v>
      </c>
      <c r="M294" t="s">
        <v>24</v>
      </c>
    </row>
    <row r="295" spans="1:13" x14ac:dyDescent="0.25">
      <c r="A295">
        <v>294</v>
      </c>
      <c r="B295" t="s">
        <v>28</v>
      </c>
      <c r="C295">
        <v>50</v>
      </c>
      <c r="D295" t="s">
        <v>29</v>
      </c>
      <c r="E295">
        <v>6</v>
      </c>
      <c r="F295">
        <v>6</v>
      </c>
      <c r="G295">
        <v>90</v>
      </c>
      <c r="H295">
        <v>8</v>
      </c>
      <c r="I295" t="s">
        <v>15</v>
      </c>
      <c r="J295" t="s">
        <v>55</v>
      </c>
      <c r="K295">
        <v>75</v>
      </c>
      <c r="L295">
        <v>10000</v>
      </c>
      <c r="M295" t="s">
        <v>24</v>
      </c>
    </row>
    <row r="296" spans="1:13" x14ac:dyDescent="0.25">
      <c r="A296">
        <v>295</v>
      </c>
      <c r="B296" t="s">
        <v>28</v>
      </c>
      <c r="C296">
        <v>50</v>
      </c>
      <c r="D296" t="s">
        <v>29</v>
      </c>
      <c r="E296">
        <v>6.1</v>
      </c>
      <c r="F296">
        <v>6</v>
      </c>
      <c r="G296">
        <v>90</v>
      </c>
      <c r="H296">
        <v>8</v>
      </c>
      <c r="I296" t="s">
        <v>15</v>
      </c>
      <c r="J296" t="s">
        <v>55</v>
      </c>
      <c r="K296">
        <v>75</v>
      </c>
      <c r="L296">
        <v>10000</v>
      </c>
      <c r="M296" t="s">
        <v>24</v>
      </c>
    </row>
    <row r="297" spans="1:13" x14ac:dyDescent="0.25">
      <c r="A297">
        <v>296</v>
      </c>
      <c r="B297" t="s">
        <v>28</v>
      </c>
      <c r="C297">
        <v>50</v>
      </c>
      <c r="D297" t="s">
        <v>29</v>
      </c>
      <c r="E297">
        <v>6</v>
      </c>
      <c r="F297">
        <v>6</v>
      </c>
      <c r="G297">
        <v>90</v>
      </c>
      <c r="H297">
        <v>8</v>
      </c>
      <c r="I297" t="s">
        <v>15</v>
      </c>
      <c r="J297" t="s">
        <v>55</v>
      </c>
      <c r="K297">
        <v>75</v>
      </c>
      <c r="L297">
        <v>10000</v>
      </c>
      <c r="M297" t="s">
        <v>24</v>
      </c>
    </row>
    <row r="298" spans="1:13" x14ac:dyDescent="0.25">
      <c r="A298">
        <v>297</v>
      </c>
      <c r="B298" t="s">
        <v>28</v>
      </c>
      <c r="C298">
        <v>50</v>
      </c>
      <c r="D298" t="s">
        <v>29</v>
      </c>
      <c r="E298">
        <v>6.1</v>
      </c>
      <c r="F298">
        <v>6</v>
      </c>
      <c r="G298">
        <v>90</v>
      </c>
      <c r="H298">
        <v>8</v>
      </c>
      <c r="I298" t="s">
        <v>15</v>
      </c>
      <c r="J298" t="s">
        <v>55</v>
      </c>
      <c r="K298">
        <v>75</v>
      </c>
      <c r="L298">
        <v>10000</v>
      </c>
      <c r="M298" t="s">
        <v>24</v>
      </c>
    </row>
    <row r="299" spans="1:13" x14ac:dyDescent="0.25">
      <c r="A299">
        <v>298</v>
      </c>
      <c r="B299" t="s">
        <v>28</v>
      </c>
      <c r="C299">
        <v>50</v>
      </c>
      <c r="D299" t="s">
        <v>29</v>
      </c>
      <c r="E299">
        <v>6.1</v>
      </c>
      <c r="F299">
        <v>6</v>
      </c>
      <c r="G299">
        <v>90</v>
      </c>
      <c r="H299">
        <v>8</v>
      </c>
      <c r="I299" t="s">
        <v>15</v>
      </c>
      <c r="J299" t="s">
        <v>55</v>
      </c>
      <c r="K299">
        <v>75</v>
      </c>
      <c r="L299">
        <v>10000</v>
      </c>
      <c r="M299" t="s">
        <v>24</v>
      </c>
    </row>
    <row r="300" spans="1:13" x14ac:dyDescent="0.25">
      <c r="A300">
        <v>299</v>
      </c>
      <c r="B300" t="s">
        <v>28</v>
      </c>
      <c r="C300">
        <v>51</v>
      </c>
      <c r="D300" t="s">
        <v>34</v>
      </c>
      <c r="E300">
        <v>8.5</v>
      </c>
      <c r="F300">
        <v>9</v>
      </c>
      <c r="G300">
        <v>30</v>
      </c>
      <c r="H300">
        <v>3</v>
      </c>
      <c r="I300" t="s">
        <v>19</v>
      </c>
      <c r="J300" t="s">
        <v>20</v>
      </c>
      <c r="K300">
        <v>65</v>
      </c>
      <c r="L300">
        <v>5000</v>
      </c>
      <c r="M300" t="s">
        <v>17</v>
      </c>
    </row>
    <row r="301" spans="1:13" x14ac:dyDescent="0.25">
      <c r="A301">
        <v>300</v>
      </c>
      <c r="B301" t="s">
        <v>28</v>
      </c>
      <c r="C301">
        <v>51</v>
      </c>
      <c r="D301" t="s">
        <v>34</v>
      </c>
      <c r="E301">
        <v>8.5</v>
      </c>
      <c r="F301">
        <v>9</v>
      </c>
      <c r="G301">
        <v>30</v>
      </c>
      <c r="H301">
        <v>3</v>
      </c>
      <c r="I301" t="s">
        <v>19</v>
      </c>
      <c r="J301" t="s">
        <v>20</v>
      </c>
      <c r="K301">
        <v>65</v>
      </c>
      <c r="L301">
        <v>5000</v>
      </c>
      <c r="M301" t="s">
        <v>17</v>
      </c>
    </row>
    <row r="302" spans="1:13" x14ac:dyDescent="0.25">
      <c r="A302">
        <v>301</v>
      </c>
      <c r="B302" t="s">
        <v>28</v>
      </c>
      <c r="C302">
        <v>51</v>
      </c>
      <c r="D302" t="s">
        <v>34</v>
      </c>
      <c r="E302">
        <v>8.5</v>
      </c>
      <c r="F302">
        <v>9</v>
      </c>
      <c r="G302">
        <v>30</v>
      </c>
      <c r="H302">
        <v>3</v>
      </c>
      <c r="I302" t="s">
        <v>19</v>
      </c>
      <c r="J302" t="s">
        <v>20</v>
      </c>
      <c r="K302">
        <v>65</v>
      </c>
      <c r="L302">
        <v>5000</v>
      </c>
      <c r="M302" t="s">
        <v>17</v>
      </c>
    </row>
    <row r="303" spans="1:13" x14ac:dyDescent="0.25">
      <c r="A303">
        <v>302</v>
      </c>
      <c r="B303" t="s">
        <v>28</v>
      </c>
      <c r="C303">
        <v>51</v>
      </c>
      <c r="D303" t="s">
        <v>34</v>
      </c>
      <c r="E303">
        <v>8.5</v>
      </c>
      <c r="F303">
        <v>9</v>
      </c>
      <c r="G303">
        <v>30</v>
      </c>
      <c r="H303">
        <v>3</v>
      </c>
      <c r="I303" t="s">
        <v>19</v>
      </c>
      <c r="J303" t="s">
        <v>20</v>
      </c>
      <c r="K303">
        <v>65</v>
      </c>
      <c r="L303">
        <v>5000</v>
      </c>
      <c r="M303" t="s">
        <v>17</v>
      </c>
    </row>
    <row r="304" spans="1:13" x14ac:dyDescent="0.25">
      <c r="A304">
        <v>303</v>
      </c>
      <c r="B304" t="s">
        <v>28</v>
      </c>
      <c r="C304">
        <v>51</v>
      </c>
      <c r="D304" t="s">
        <v>29</v>
      </c>
      <c r="E304">
        <v>7.1</v>
      </c>
      <c r="F304">
        <v>7</v>
      </c>
      <c r="G304">
        <v>55</v>
      </c>
      <c r="H304">
        <v>6</v>
      </c>
      <c r="I304" t="s">
        <v>30</v>
      </c>
      <c r="J304" t="s">
        <v>49</v>
      </c>
      <c r="K304">
        <v>72</v>
      </c>
      <c r="L304">
        <v>6000</v>
      </c>
      <c r="M304" t="s">
        <v>17</v>
      </c>
    </row>
    <row r="305" spans="1:13" x14ac:dyDescent="0.25">
      <c r="A305">
        <v>304</v>
      </c>
      <c r="B305" t="s">
        <v>28</v>
      </c>
      <c r="C305">
        <v>51</v>
      </c>
      <c r="D305" t="s">
        <v>29</v>
      </c>
      <c r="E305">
        <v>6</v>
      </c>
      <c r="F305">
        <v>6</v>
      </c>
      <c r="G305">
        <v>90</v>
      </c>
      <c r="H305">
        <v>8</v>
      </c>
      <c r="I305" t="s">
        <v>15</v>
      </c>
      <c r="J305" t="s">
        <v>55</v>
      </c>
      <c r="K305">
        <v>75</v>
      </c>
      <c r="L305">
        <v>10000</v>
      </c>
      <c r="M305" t="s">
        <v>24</v>
      </c>
    </row>
    <row r="306" spans="1:13" x14ac:dyDescent="0.25">
      <c r="A306">
        <v>305</v>
      </c>
      <c r="B306" t="s">
        <v>28</v>
      </c>
      <c r="C306">
        <v>51</v>
      </c>
      <c r="D306" t="s">
        <v>29</v>
      </c>
      <c r="E306">
        <v>6.1</v>
      </c>
      <c r="F306">
        <v>6</v>
      </c>
      <c r="G306">
        <v>90</v>
      </c>
      <c r="H306">
        <v>8</v>
      </c>
      <c r="I306" t="s">
        <v>15</v>
      </c>
      <c r="J306" t="s">
        <v>55</v>
      </c>
      <c r="K306">
        <v>75</v>
      </c>
      <c r="L306">
        <v>10000</v>
      </c>
      <c r="M306" t="s">
        <v>24</v>
      </c>
    </row>
    <row r="307" spans="1:13" x14ac:dyDescent="0.25">
      <c r="A307">
        <v>306</v>
      </c>
      <c r="B307" t="s">
        <v>28</v>
      </c>
      <c r="C307">
        <v>51</v>
      </c>
      <c r="D307" t="s">
        <v>29</v>
      </c>
      <c r="E307">
        <v>6.1</v>
      </c>
      <c r="F307">
        <v>6</v>
      </c>
      <c r="G307">
        <v>90</v>
      </c>
      <c r="H307">
        <v>8</v>
      </c>
      <c r="I307" t="s">
        <v>15</v>
      </c>
      <c r="J307" t="s">
        <v>55</v>
      </c>
      <c r="K307">
        <v>75</v>
      </c>
      <c r="L307">
        <v>10000</v>
      </c>
      <c r="M307" t="s">
        <v>24</v>
      </c>
    </row>
    <row r="308" spans="1:13" x14ac:dyDescent="0.25">
      <c r="A308">
        <v>307</v>
      </c>
      <c r="B308" t="s">
        <v>28</v>
      </c>
      <c r="C308">
        <v>52</v>
      </c>
      <c r="D308" t="s">
        <v>35</v>
      </c>
      <c r="E308">
        <v>6.5</v>
      </c>
      <c r="F308">
        <v>7</v>
      </c>
      <c r="G308">
        <v>45</v>
      </c>
      <c r="H308">
        <v>7</v>
      </c>
      <c r="I308" t="s">
        <v>15</v>
      </c>
      <c r="J308" t="s">
        <v>45</v>
      </c>
      <c r="K308">
        <v>72</v>
      </c>
      <c r="L308">
        <v>6000</v>
      </c>
      <c r="M308" t="s">
        <v>25</v>
      </c>
    </row>
    <row r="309" spans="1:13" x14ac:dyDescent="0.25">
      <c r="A309">
        <v>308</v>
      </c>
      <c r="B309" t="s">
        <v>28</v>
      </c>
      <c r="C309">
        <v>52</v>
      </c>
      <c r="D309" t="s">
        <v>35</v>
      </c>
      <c r="E309">
        <v>6.5</v>
      </c>
      <c r="F309">
        <v>7</v>
      </c>
      <c r="G309">
        <v>45</v>
      </c>
      <c r="H309">
        <v>7</v>
      </c>
      <c r="I309" t="s">
        <v>15</v>
      </c>
      <c r="J309" t="s">
        <v>45</v>
      </c>
      <c r="K309">
        <v>72</v>
      </c>
      <c r="L309">
        <v>6000</v>
      </c>
      <c r="M309" t="s">
        <v>25</v>
      </c>
    </row>
    <row r="310" spans="1:13" x14ac:dyDescent="0.25">
      <c r="A310">
        <v>309</v>
      </c>
      <c r="B310" t="s">
        <v>28</v>
      </c>
      <c r="C310">
        <v>52</v>
      </c>
      <c r="D310" t="s">
        <v>35</v>
      </c>
      <c r="E310">
        <v>6.6</v>
      </c>
      <c r="F310">
        <v>7</v>
      </c>
      <c r="G310">
        <v>45</v>
      </c>
      <c r="H310">
        <v>7</v>
      </c>
      <c r="I310" t="s">
        <v>15</v>
      </c>
      <c r="J310" t="s">
        <v>45</v>
      </c>
      <c r="K310">
        <v>72</v>
      </c>
      <c r="L310">
        <v>6000</v>
      </c>
      <c r="M310" t="s">
        <v>25</v>
      </c>
    </row>
    <row r="311" spans="1:13" x14ac:dyDescent="0.25">
      <c r="A311">
        <v>310</v>
      </c>
      <c r="B311" t="s">
        <v>28</v>
      </c>
      <c r="C311">
        <v>52</v>
      </c>
      <c r="D311" t="s">
        <v>35</v>
      </c>
      <c r="E311">
        <v>6.6</v>
      </c>
      <c r="F311">
        <v>7</v>
      </c>
      <c r="G311">
        <v>45</v>
      </c>
      <c r="H311">
        <v>7</v>
      </c>
      <c r="I311" t="s">
        <v>15</v>
      </c>
      <c r="J311" t="s">
        <v>45</v>
      </c>
      <c r="K311">
        <v>72</v>
      </c>
      <c r="L311">
        <v>6000</v>
      </c>
      <c r="M311" t="s">
        <v>25</v>
      </c>
    </row>
    <row r="312" spans="1:13" x14ac:dyDescent="0.25">
      <c r="A312">
        <v>311</v>
      </c>
      <c r="B312" t="s">
        <v>28</v>
      </c>
      <c r="C312">
        <v>52</v>
      </c>
      <c r="D312" t="s">
        <v>35</v>
      </c>
      <c r="E312">
        <v>6.6</v>
      </c>
      <c r="F312">
        <v>7</v>
      </c>
      <c r="G312">
        <v>45</v>
      </c>
      <c r="H312">
        <v>7</v>
      </c>
      <c r="I312" t="s">
        <v>15</v>
      </c>
      <c r="J312" t="s">
        <v>45</v>
      </c>
      <c r="K312">
        <v>72</v>
      </c>
      <c r="L312">
        <v>6000</v>
      </c>
      <c r="M312" t="s">
        <v>25</v>
      </c>
    </row>
    <row r="313" spans="1:13" x14ac:dyDescent="0.25">
      <c r="A313">
        <v>312</v>
      </c>
      <c r="B313" t="s">
        <v>28</v>
      </c>
      <c r="C313">
        <v>52</v>
      </c>
      <c r="D313" t="s">
        <v>35</v>
      </c>
      <c r="E313">
        <v>6.6</v>
      </c>
      <c r="F313">
        <v>7</v>
      </c>
      <c r="G313">
        <v>45</v>
      </c>
      <c r="H313">
        <v>7</v>
      </c>
      <c r="I313" t="s">
        <v>15</v>
      </c>
      <c r="J313" t="s">
        <v>45</v>
      </c>
      <c r="K313">
        <v>72</v>
      </c>
      <c r="L313">
        <v>6000</v>
      </c>
      <c r="M313" t="s">
        <v>25</v>
      </c>
    </row>
    <row r="314" spans="1:13" x14ac:dyDescent="0.25">
      <c r="A314">
        <v>313</v>
      </c>
      <c r="B314" t="s">
        <v>28</v>
      </c>
      <c r="C314">
        <v>52</v>
      </c>
      <c r="D314" t="s">
        <v>34</v>
      </c>
      <c r="E314">
        <v>8.4</v>
      </c>
      <c r="F314">
        <v>9</v>
      </c>
      <c r="G314">
        <v>30</v>
      </c>
      <c r="H314">
        <v>3</v>
      </c>
      <c r="I314" t="s">
        <v>19</v>
      </c>
      <c r="J314" t="s">
        <v>20</v>
      </c>
      <c r="K314">
        <v>65</v>
      </c>
      <c r="L314">
        <v>5000</v>
      </c>
      <c r="M314" t="s">
        <v>17</v>
      </c>
    </row>
    <row r="315" spans="1:13" x14ac:dyDescent="0.25">
      <c r="A315">
        <v>314</v>
      </c>
      <c r="B315" t="s">
        <v>28</v>
      </c>
      <c r="C315">
        <v>52</v>
      </c>
      <c r="D315" t="s">
        <v>34</v>
      </c>
      <c r="E315">
        <v>8.4</v>
      </c>
      <c r="F315">
        <v>9</v>
      </c>
      <c r="G315">
        <v>30</v>
      </c>
      <c r="H315">
        <v>3</v>
      </c>
      <c r="I315" t="s">
        <v>19</v>
      </c>
      <c r="J315" t="s">
        <v>20</v>
      </c>
      <c r="K315">
        <v>65</v>
      </c>
      <c r="L315">
        <v>5000</v>
      </c>
      <c r="M315" t="s">
        <v>17</v>
      </c>
    </row>
    <row r="316" spans="1:13" x14ac:dyDescent="0.25">
      <c r="A316">
        <v>315</v>
      </c>
      <c r="B316" t="s">
        <v>28</v>
      </c>
      <c r="C316">
        <v>52</v>
      </c>
      <c r="D316" t="s">
        <v>34</v>
      </c>
      <c r="E316">
        <v>8.4</v>
      </c>
      <c r="F316">
        <v>9</v>
      </c>
      <c r="G316">
        <v>30</v>
      </c>
      <c r="H316">
        <v>3</v>
      </c>
      <c r="I316" t="s">
        <v>19</v>
      </c>
      <c r="J316" t="s">
        <v>20</v>
      </c>
      <c r="K316">
        <v>65</v>
      </c>
      <c r="L316">
        <v>5000</v>
      </c>
      <c r="M316" t="s">
        <v>17</v>
      </c>
    </row>
    <row r="317" spans="1:13" x14ac:dyDescent="0.25">
      <c r="A317">
        <v>316</v>
      </c>
      <c r="B317" t="s">
        <v>28</v>
      </c>
      <c r="C317">
        <v>53</v>
      </c>
      <c r="D317" t="s">
        <v>34</v>
      </c>
      <c r="E317">
        <v>8.3000000000000007</v>
      </c>
      <c r="F317">
        <v>9</v>
      </c>
      <c r="G317">
        <v>30</v>
      </c>
      <c r="H317">
        <v>3</v>
      </c>
      <c r="I317" t="s">
        <v>19</v>
      </c>
      <c r="J317" t="s">
        <v>20</v>
      </c>
      <c r="K317">
        <v>65</v>
      </c>
      <c r="L317">
        <v>5000</v>
      </c>
      <c r="M317" t="s">
        <v>25</v>
      </c>
    </row>
    <row r="318" spans="1:13" x14ac:dyDescent="0.25">
      <c r="A318">
        <v>317</v>
      </c>
      <c r="B318" t="s">
        <v>28</v>
      </c>
      <c r="C318">
        <v>53</v>
      </c>
      <c r="D318" t="s">
        <v>34</v>
      </c>
      <c r="E318">
        <v>8.5</v>
      </c>
      <c r="F318">
        <v>9</v>
      </c>
      <c r="G318">
        <v>30</v>
      </c>
      <c r="H318">
        <v>3</v>
      </c>
      <c r="I318" t="s">
        <v>19</v>
      </c>
      <c r="J318" t="s">
        <v>20</v>
      </c>
      <c r="K318">
        <v>65</v>
      </c>
      <c r="L318">
        <v>5000</v>
      </c>
      <c r="M318" t="s">
        <v>17</v>
      </c>
    </row>
    <row r="319" spans="1:13" x14ac:dyDescent="0.25">
      <c r="A319">
        <v>318</v>
      </c>
      <c r="B319" t="s">
        <v>28</v>
      </c>
      <c r="C319">
        <v>53</v>
      </c>
      <c r="D319" t="s">
        <v>34</v>
      </c>
      <c r="E319">
        <v>8.5</v>
      </c>
      <c r="F319">
        <v>9</v>
      </c>
      <c r="G319">
        <v>30</v>
      </c>
      <c r="H319">
        <v>3</v>
      </c>
      <c r="I319" t="s">
        <v>19</v>
      </c>
      <c r="J319" t="s">
        <v>20</v>
      </c>
      <c r="K319">
        <v>65</v>
      </c>
      <c r="L319">
        <v>5000</v>
      </c>
      <c r="M319" t="s">
        <v>17</v>
      </c>
    </row>
    <row r="320" spans="1:13" x14ac:dyDescent="0.25">
      <c r="A320">
        <v>319</v>
      </c>
      <c r="B320" t="s">
        <v>28</v>
      </c>
      <c r="C320">
        <v>53</v>
      </c>
      <c r="D320" t="s">
        <v>34</v>
      </c>
      <c r="E320">
        <v>8.4</v>
      </c>
      <c r="F320">
        <v>9</v>
      </c>
      <c r="G320">
        <v>30</v>
      </c>
      <c r="H320">
        <v>3</v>
      </c>
      <c r="I320" t="s">
        <v>19</v>
      </c>
      <c r="J320" t="s">
        <v>20</v>
      </c>
      <c r="K320">
        <v>65</v>
      </c>
      <c r="L320">
        <v>5000</v>
      </c>
      <c r="M320" t="s">
        <v>17</v>
      </c>
    </row>
    <row r="321" spans="1:13" x14ac:dyDescent="0.25">
      <c r="A321">
        <v>320</v>
      </c>
      <c r="B321" t="s">
        <v>28</v>
      </c>
      <c r="C321">
        <v>53</v>
      </c>
      <c r="D321" t="s">
        <v>34</v>
      </c>
      <c r="E321">
        <v>8.4</v>
      </c>
      <c r="F321">
        <v>9</v>
      </c>
      <c r="G321">
        <v>30</v>
      </c>
      <c r="H321">
        <v>3</v>
      </c>
      <c r="I321" t="s">
        <v>19</v>
      </c>
      <c r="J321" t="s">
        <v>20</v>
      </c>
      <c r="K321">
        <v>65</v>
      </c>
      <c r="L321">
        <v>5000</v>
      </c>
      <c r="M321" t="s">
        <v>17</v>
      </c>
    </row>
    <row r="322" spans="1:13" x14ac:dyDescent="0.25">
      <c r="A322">
        <v>321</v>
      </c>
      <c r="B322" t="s">
        <v>28</v>
      </c>
      <c r="C322">
        <v>53</v>
      </c>
      <c r="D322" t="s">
        <v>34</v>
      </c>
      <c r="E322">
        <v>8.5</v>
      </c>
      <c r="F322">
        <v>9</v>
      </c>
      <c r="G322">
        <v>30</v>
      </c>
      <c r="H322">
        <v>3</v>
      </c>
      <c r="I322" t="s">
        <v>19</v>
      </c>
      <c r="J322" t="s">
        <v>20</v>
      </c>
      <c r="K322">
        <v>65</v>
      </c>
      <c r="L322">
        <v>5000</v>
      </c>
      <c r="M322" t="s">
        <v>17</v>
      </c>
    </row>
    <row r="323" spans="1:13" x14ac:dyDescent="0.25">
      <c r="A323">
        <v>322</v>
      </c>
      <c r="B323" t="s">
        <v>28</v>
      </c>
      <c r="C323">
        <v>53</v>
      </c>
      <c r="D323" t="s">
        <v>34</v>
      </c>
      <c r="E323">
        <v>8.4</v>
      </c>
      <c r="F323">
        <v>9</v>
      </c>
      <c r="G323">
        <v>30</v>
      </c>
      <c r="H323">
        <v>3</v>
      </c>
      <c r="I323" t="s">
        <v>19</v>
      </c>
      <c r="J323" t="s">
        <v>20</v>
      </c>
      <c r="K323">
        <v>65</v>
      </c>
      <c r="L323">
        <v>5000</v>
      </c>
      <c r="M323" t="s">
        <v>17</v>
      </c>
    </row>
    <row r="324" spans="1:13" x14ac:dyDescent="0.25">
      <c r="A324">
        <v>323</v>
      </c>
      <c r="B324" t="s">
        <v>28</v>
      </c>
      <c r="C324">
        <v>53</v>
      </c>
      <c r="D324" t="s">
        <v>34</v>
      </c>
      <c r="E324">
        <v>8.4</v>
      </c>
      <c r="F324">
        <v>9</v>
      </c>
      <c r="G324">
        <v>30</v>
      </c>
      <c r="H324">
        <v>3</v>
      </c>
      <c r="I324" t="s">
        <v>19</v>
      </c>
      <c r="J324" t="s">
        <v>20</v>
      </c>
      <c r="K324">
        <v>65</v>
      </c>
      <c r="L324">
        <v>5000</v>
      </c>
      <c r="M324" t="s">
        <v>17</v>
      </c>
    </row>
    <row r="325" spans="1:13" x14ac:dyDescent="0.25">
      <c r="A325">
        <v>324</v>
      </c>
      <c r="B325" t="s">
        <v>28</v>
      </c>
      <c r="C325">
        <v>53</v>
      </c>
      <c r="D325" t="s">
        <v>34</v>
      </c>
      <c r="E325">
        <v>8.5</v>
      </c>
      <c r="F325">
        <v>9</v>
      </c>
      <c r="G325">
        <v>30</v>
      </c>
      <c r="H325">
        <v>3</v>
      </c>
      <c r="I325" t="s">
        <v>19</v>
      </c>
      <c r="J325" t="s">
        <v>20</v>
      </c>
      <c r="K325">
        <v>65</v>
      </c>
      <c r="L325">
        <v>5000</v>
      </c>
      <c r="M325" t="s">
        <v>17</v>
      </c>
    </row>
    <row r="326" spans="1:13" x14ac:dyDescent="0.25">
      <c r="A326">
        <v>325</v>
      </c>
      <c r="B326" t="s">
        <v>28</v>
      </c>
      <c r="C326">
        <v>53</v>
      </c>
      <c r="D326" t="s">
        <v>34</v>
      </c>
      <c r="E326">
        <v>8.3000000000000007</v>
      </c>
      <c r="F326">
        <v>9</v>
      </c>
      <c r="G326">
        <v>30</v>
      </c>
      <c r="H326">
        <v>3</v>
      </c>
      <c r="I326" t="s">
        <v>19</v>
      </c>
      <c r="J326" t="s">
        <v>20</v>
      </c>
      <c r="K326">
        <v>65</v>
      </c>
      <c r="L326">
        <v>5000</v>
      </c>
      <c r="M326" t="s">
        <v>17</v>
      </c>
    </row>
    <row r="327" spans="1:13" x14ac:dyDescent="0.25">
      <c r="A327">
        <v>326</v>
      </c>
      <c r="B327" t="s">
        <v>28</v>
      </c>
      <c r="C327">
        <v>53</v>
      </c>
      <c r="D327" t="s">
        <v>34</v>
      </c>
      <c r="E327">
        <v>8.5</v>
      </c>
      <c r="F327">
        <v>9</v>
      </c>
      <c r="G327">
        <v>30</v>
      </c>
      <c r="H327">
        <v>3</v>
      </c>
      <c r="I327" t="s">
        <v>19</v>
      </c>
      <c r="J327" t="s">
        <v>20</v>
      </c>
      <c r="K327">
        <v>65</v>
      </c>
      <c r="L327">
        <v>5000</v>
      </c>
      <c r="M327" t="s">
        <v>17</v>
      </c>
    </row>
    <row r="328" spans="1:13" x14ac:dyDescent="0.25">
      <c r="A328">
        <v>327</v>
      </c>
      <c r="B328" t="s">
        <v>28</v>
      </c>
      <c r="C328">
        <v>53</v>
      </c>
      <c r="D328" t="s">
        <v>34</v>
      </c>
      <c r="E328">
        <v>8.3000000000000007</v>
      </c>
      <c r="F328">
        <v>9</v>
      </c>
      <c r="G328">
        <v>30</v>
      </c>
      <c r="H328">
        <v>3</v>
      </c>
      <c r="I328" t="s">
        <v>19</v>
      </c>
      <c r="J328" t="s">
        <v>20</v>
      </c>
      <c r="K328">
        <v>65</v>
      </c>
      <c r="L328">
        <v>5000</v>
      </c>
      <c r="M328" t="s">
        <v>17</v>
      </c>
    </row>
    <row r="329" spans="1:13" x14ac:dyDescent="0.25">
      <c r="A329">
        <v>328</v>
      </c>
      <c r="B329" t="s">
        <v>28</v>
      </c>
      <c r="C329">
        <v>53</v>
      </c>
      <c r="D329" t="s">
        <v>34</v>
      </c>
      <c r="E329">
        <v>8.5</v>
      </c>
      <c r="F329">
        <v>9</v>
      </c>
      <c r="G329">
        <v>30</v>
      </c>
      <c r="H329">
        <v>3</v>
      </c>
      <c r="I329" t="s">
        <v>19</v>
      </c>
      <c r="J329" t="s">
        <v>20</v>
      </c>
      <c r="K329">
        <v>65</v>
      </c>
      <c r="L329">
        <v>5000</v>
      </c>
      <c r="M329" t="s">
        <v>17</v>
      </c>
    </row>
    <row r="330" spans="1:13" x14ac:dyDescent="0.25">
      <c r="A330">
        <v>329</v>
      </c>
      <c r="B330" t="s">
        <v>28</v>
      </c>
      <c r="C330">
        <v>53</v>
      </c>
      <c r="D330" t="s">
        <v>34</v>
      </c>
      <c r="E330">
        <v>8.3000000000000007</v>
      </c>
      <c r="F330">
        <v>9</v>
      </c>
      <c r="G330">
        <v>30</v>
      </c>
      <c r="H330">
        <v>3</v>
      </c>
      <c r="I330" t="s">
        <v>19</v>
      </c>
      <c r="J330" t="s">
        <v>20</v>
      </c>
      <c r="K330">
        <v>65</v>
      </c>
      <c r="L330">
        <v>5000</v>
      </c>
      <c r="M330" t="s">
        <v>17</v>
      </c>
    </row>
    <row r="331" spans="1:13" x14ac:dyDescent="0.25">
      <c r="A331">
        <v>330</v>
      </c>
      <c r="B331" t="s">
        <v>28</v>
      </c>
      <c r="C331">
        <v>53</v>
      </c>
      <c r="D331" t="s">
        <v>34</v>
      </c>
      <c r="E331">
        <v>8.5</v>
      </c>
      <c r="F331">
        <v>9</v>
      </c>
      <c r="G331">
        <v>30</v>
      </c>
      <c r="H331">
        <v>3</v>
      </c>
      <c r="I331" t="s">
        <v>19</v>
      </c>
      <c r="J331" t="s">
        <v>20</v>
      </c>
      <c r="K331">
        <v>65</v>
      </c>
      <c r="L331">
        <v>5000</v>
      </c>
      <c r="M331" t="s">
        <v>17</v>
      </c>
    </row>
    <row r="332" spans="1:13" x14ac:dyDescent="0.25">
      <c r="A332">
        <v>331</v>
      </c>
      <c r="B332" t="s">
        <v>28</v>
      </c>
      <c r="C332">
        <v>53</v>
      </c>
      <c r="D332" t="s">
        <v>34</v>
      </c>
      <c r="E332">
        <v>8.5</v>
      </c>
      <c r="F332">
        <v>9</v>
      </c>
      <c r="G332">
        <v>30</v>
      </c>
      <c r="H332">
        <v>3</v>
      </c>
      <c r="I332" t="s">
        <v>19</v>
      </c>
      <c r="J332" t="s">
        <v>20</v>
      </c>
      <c r="K332">
        <v>65</v>
      </c>
      <c r="L332">
        <v>5000</v>
      </c>
      <c r="M332" t="s">
        <v>17</v>
      </c>
    </row>
    <row r="333" spans="1:13" x14ac:dyDescent="0.25">
      <c r="A333">
        <v>332</v>
      </c>
      <c r="B333" t="s">
        <v>28</v>
      </c>
      <c r="C333">
        <v>53</v>
      </c>
      <c r="D333" t="s">
        <v>34</v>
      </c>
      <c r="E333">
        <v>8.4</v>
      </c>
      <c r="F333">
        <v>9</v>
      </c>
      <c r="G333">
        <v>30</v>
      </c>
      <c r="H333">
        <v>3</v>
      </c>
      <c r="I333" t="s">
        <v>19</v>
      </c>
      <c r="J333" t="s">
        <v>20</v>
      </c>
      <c r="K333">
        <v>65</v>
      </c>
      <c r="L333">
        <v>5000</v>
      </c>
      <c r="M333" t="s">
        <v>17</v>
      </c>
    </row>
    <row r="334" spans="1:13" x14ac:dyDescent="0.25">
      <c r="A334">
        <v>333</v>
      </c>
      <c r="B334" t="s">
        <v>28</v>
      </c>
      <c r="C334">
        <v>54</v>
      </c>
      <c r="D334" t="s">
        <v>34</v>
      </c>
      <c r="E334">
        <v>8.4</v>
      </c>
      <c r="F334">
        <v>9</v>
      </c>
      <c r="G334">
        <v>30</v>
      </c>
      <c r="H334">
        <v>3</v>
      </c>
      <c r="I334" t="s">
        <v>19</v>
      </c>
      <c r="J334" t="s">
        <v>20</v>
      </c>
      <c r="K334">
        <v>65</v>
      </c>
      <c r="L334">
        <v>5000</v>
      </c>
      <c r="M334" t="s">
        <v>17</v>
      </c>
    </row>
    <row r="335" spans="1:13" x14ac:dyDescent="0.25">
      <c r="A335">
        <v>334</v>
      </c>
      <c r="B335" t="s">
        <v>28</v>
      </c>
      <c r="C335">
        <v>54</v>
      </c>
      <c r="D335" t="s">
        <v>34</v>
      </c>
      <c r="E335">
        <v>8.4</v>
      </c>
      <c r="F335">
        <v>9</v>
      </c>
      <c r="G335">
        <v>30</v>
      </c>
      <c r="H335">
        <v>3</v>
      </c>
      <c r="I335" t="s">
        <v>19</v>
      </c>
      <c r="J335" t="s">
        <v>20</v>
      </c>
      <c r="K335">
        <v>65</v>
      </c>
      <c r="L335">
        <v>5000</v>
      </c>
      <c r="M335" t="s">
        <v>17</v>
      </c>
    </row>
    <row r="336" spans="1:13" x14ac:dyDescent="0.25">
      <c r="A336">
        <v>335</v>
      </c>
      <c r="B336" t="s">
        <v>28</v>
      </c>
      <c r="C336">
        <v>54</v>
      </c>
      <c r="D336" t="s">
        <v>34</v>
      </c>
      <c r="E336">
        <v>8.4</v>
      </c>
      <c r="F336">
        <v>9</v>
      </c>
      <c r="G336">
        <v>30</v>
      </c>
      <c r="H336">
        <v>3</v>
      </c>
      <c r="I336" t="s">
        <v>19</v>
      </c>
      <c r="J336" t="s">
        <v>20</v>
      </c>
      <c r="K336">
        <v>65</v>
      </c>
      <c r="L336">
        <v>5000</v>
      </c>
      <c r="M336" t="s">
        <v>17</v>
      </c>
    </row>
    <row r="337" spans="1:13" x14ac:dyDescent="0.25">
      <c r="A337">
        <v>336</v>
      </c>
      <c r="B337" t="s">
        <v>28</v>
      </c>
      <c r="C337">
        <v>54</v>
      </c>
      <c r="D337" t="s">
        <v>34</v>
      </c>
      <c r="E337">
        <v>8.4</v>
      </c>
      <c r="F337">
        <v>9</v>
      </c>
      <c r="G337">
        <v>30</v>
      </c>
      <c r="H337">
        <v>3</v>
      </c>
      <c r="I337" t="s">
        <v>19</v>
      </c>
      <c r="J337" t="s">
        <v>20</v>
      </c>
      <c r="K337">
        <v>65</v>
      </c>
      <c r="L337">
        <v>5000</v>
      </c>
      <c r="M337" t="s">
        <v>17</v>
      </c>
    </row>
    <row r="338" spans="1:13" x14ac:dyDescent="0.25">
      <c r="A338">
        <v>337</v>
      </c>
      <c r="B338" t="s">
        <v>28</v>
      </c>
      <c r="C338">
        <v>54</v>
      </c>
      <c r="D338" t="s">
        <v>34</v>
      </c>
      <c r="E338">
        <v>8.4</v>
      </c>
      <c r="F338">
        <v>9</v>
      </c>
      <c r="G338">
        <v>30</v>
      </c>
      <c r="H338">
        <v>3</v>
      </c>
      <c r="I338" t="s">
        <v>19</v>
      </c>
      <c r="J338" t="s">
        <v>20</v>
      </c>
      <c r="K338">
        <v>65</v>
      </c>
      <c r="L338">
        <v>5000</v>
      </c>
      <c r="M338" t="s">
        <v>17</v>
      </c>
    </row>
    <row r="339" spans="1:13" x14ac:dyDescent="0.25">
      <c r="A339">
        <v>338</v>
      </c>
      <c r="B339" t="s">
        <v>28</v>
      </c>
      <c r="C339">
        <v>54</v>
      </c>
      <c r="D339" t="s">
        <v>34</v>
      </c>
      <c r="E339">
        <v>8.4</v>
      </c>
      <c r="F339">
        <v>9</v>
      </c>
      <c r="G339">
        <v>30</v>
      </c>
      <c r="H339">
        <v>3</v>
      </c>
      <c r="I339" t="s">
        <v>19</v>
      </c>
      <c r="J339" t="s">
        <v>20</v>
      </c>
      <c r="K339">
        <v>65</v>
      </c>
      <c r="L339">
        <v>5000</v>
      </c>
      <c r="M339" t="s">
        <v>17</v>
      </c>
    </row>
    <row r="340" spans="1:13" x14ac:dyDescent="0.25">
      <c r="A340">
        <v>339</v>
      </c>
      <c r="B340" t="s">
        <v>28</v>
      </c>
      <c r="C340">
        <v>54</v>
      </c>
      <c r="D340" t="s">
        <v>34</v>
      </c>
      <c r="E340">
        <v>8.5</v>
      </c>
      <c r="F340">
        <v>9</v>
      </c>
      <c r="G340">
        <v>30</v>
      </c>
      <c r="H340">
        <v>3</v>
      </c>
      <c r="I340" t="s">
        <v>19</v>
      </c>
      <c r="J340" t="s">
        <v>20</v>
      </c>
      <c r="K340">
        <v>65</v>
      </c>
      <c r="L340">
        <v>5000</v>
      </c>
      <c r="M340" t="s">
        <v>17</v>
      </c>
    </row>
    <row r="341" spans="1:13" x14ac:dyDescent="0.25">
      <c r="A341">
        <v>340</v>
      </c>
      <c r="B341" t="s">
        <v>28</v>
      </c>
      <c r="C341">
        <v>55</v>
      </c>
      <c r="D341" t="s">
        <v>29</v>
      </c>
      <c r="E341">
        <v>8.1</v>
      </c>
      <c r="F341">
        <v>9</v>
      </c>
      <c r="G341">
        <v>75</v>
      </c>
      <c r="H341">
        <v>4</v>
      </c>
      <c r="I341" t="s">
        <v>15</v>
      </c>
      <c r="J341" t="s">
        <v>55</v>
      </c>
      <c r="K341">
        <v>72</v>
      </c>
      <c r="L341">
        <v>5000</v>
      </c>
      <c r="M341" t="s">
        <v>24</v>
      </c>
    </row>
    <row r="342" spans="1:13" x14ac:dyDescent="0.25">
      <c r="A342">
        <v>341</v>
      </c>
      <c r="B342" t="s">
        <v>28</v>
      </c>
      <c r="C342">
        <v>55</v>
      </c>
      <c r="D342" t="s">
        <v>29</v>
      </c>
      <c r="E342">
        <v>8.1</v>
      </c>
      <c r="F342">
        <v>9</v>
      </c>
      <c r="G342">
        <v>75</v>
      </c>
      <c r="H342">
        <v>4</v>
      </c>
      <c r="I342" t="s">
        <v>15</v>
      </c>
      <c r="J342" t="s">
        <v>55</v>
      </c>
      <c r="K342">
        <v>72</v>
      </c>
      <c r="L342">
        <v>5000</v>
      </c>
      <c r="M342" t="s">
        <v>24</v>
      </c>
    </row>
    <row r="343" spans="1:13" x14ac:dyDescent="0.25">
      <c r="A343">
        <v>342</v>
      </c>
      <c r="B343" t="s">
        <v>28</v>
      </c>
      <c r="C343">
        <v>56</v>
      </c>
      <c r="D343" t="s">
        <v>18</v>
      </c>
      <c r="E343">
        <v>8.1999999999999993</v>
      </c>
      <c r="F343">
        <v>9</v>
      </c>
      <c r="G343">
        <v>90</v>
      </c>
      <c r="H343">
        <v>3</v>
      </c>
      <c r="I343" t="s">
        <v>30</v>
      </c>
      <c r="J343" t="s">
        <v>57</v>
      </c>
      <c r="K343">
        <v>65</v>
      </c>
      <c r="L343">
        <v>10000</v>
      </c>
      <c r="M343" t="s">
        <v>17</v>
      </c>
    </row>
    <row r="344" spans="1:13" x14ac:dyDescent="0.25">
      <c r="A344">
        <v>343</v>
      </c>
      <c r="B344" t="s">
        <v>28</v>
      </c>
      <c r="C344">
        <v>56</v>
      </c>
      <c r="D344" t="s">
        <v>18</v>
      </c>
      <c r="E344">
        <v>8.1999999999999993</v>
      </c>
      <c r="F344">
        <v>9</v>
      </c>
      <c r="G344">
        <v>90</v>
      </c>
      <c r="H344">
        <v>3</v>
      </c>
      <c r="I344" t="s">
        <v>30</v>
      </c>
      <c r="J344" t="s">
        <v>57</v>
      </c>
      <c r="K344">
        <v>65</v>
      </c>
      <c r="L344">
        <v>10000</v>
      </c>
      <c r="M344" t="s">
        <v>17</v>
      </c>
    </row>
    <row r="345" spans="1:13" x14ac:dyDescent="0.25">
      <c r="A345">
        <v>344</v>
      </c>
      <c r="B345" t="s">
        <v>28</v>
      </c>
      <c r="C345">
        <v>57</v>
      </c>
      <c r="D345" t="s">
        <v>29</v>
      </c>
      <c r="E345">
        <v>8.1</v>
      </c>
      <c r="F345">
        <v>9</v>
      </c>
      <c r="G345">
        <v>75</v>
      </c>
      <c r="H345">
        <v>3</v>
      </c>
      <c r="I345" t="s">
        <v>15</v>
      </c>
      <c r="J345" t="s">
        <v>55</v>
      </c>
      <c r="K345">
        <v>68</v>
      </c>
      <c r="L345">
        <v>7000</v>
      </c>
      <c r="M345" t="s">
        <v>17</v>
      </c>
    </row>
    <row r="346" spans="1:13" x14ac:dyDescent="0.25">
      <c r="A346">
        <v>345</v>
      </c>
      <c r="B346" t="s">
        <v>28</v>
      </c>
      <c r="C346">
        <v>57</v>
      </c>
      <c r="D346" t="s">
        <v>29</v>
      </c>
      <c r="E346">
        <v>8.1999999999999993</v>
      </c>
      <c r="F346">
        <v>9</v>
      </c>
      <c r="G346">
        <v>75</v>
      </c>
      <c r="H346">
        <v>3</v>
      </c>
      <c r="I346" t="s">
        <v>15</v>
      </c>
      <c r="J346" t="s">
        <v>55</v>
      </c>
      <c r="K346">
        <v>68</v>
      </c>
      <c r="L346">
        <v>7000</v>
      </c>
      <c r="M346" t="s">
        <v>24</v>
      </c>
    </row>
    <row r="347" spans="1:13" x14ac:dyDescent="0.25">
      <c r="A347">
        <v>346</v>
      </c>
      <c r="B347" t="s">
        <v>28</v>
      </c>
      <c r="C347">
        <v>57</v>
      </c>
      <c r="D347" t="s">
        <v>29</v>
      </c>
      <c r="E347">
        <v>8.1999999999999993</v>
      </c>
      <c r="F347">
        <v>9</v>
      </c>
      <c r="G347">
        <v>75</v>
      </c>
      <c r="H347">
        <v>3</v>
      </c>
      <c r="I347" t="s">
        <v>15</v>
      </c>
      <c r="J347" t="s">
        <v>55</v>
      </c>
      <c r="K347">
        <v>68</v>
      </c>
      <c r="L347">
        <v>7000</v>
      </c>
      <c r="M347" t="s">
        <v>24</v>
      </c>
    </row>
    <row r="348" spans="1:13" x14ac:dyDescent="0.25">
      <c r="A348">
        <v>347</v>
      </c>
      <c r="B348" t="s">
        <v>28</v>
      </c>
      <c r="C348">
        <v>57</v>
      </c>
      <c r="D348" t="s">
        <v>29</v>
      </c>
      <c r="E348">
        <v>8.1999999999999993</v>
      </c>
      <c r="F348">
        <v>9</v>
      </c>
      <c r="G348">
        <v>75</v>
      </c>
      <c r="H348">
        <v>3</v>
      </c>
      <c r="I348" t="s">
        <v>15</v>
      </c>
      <c r="J348" t="s">
        <v>55</v>
      </c>
      <c r="K348">
        <v>68</v>
      </c>
      <c r="L348">
        <v>7000</v>
      </c>
      <c r="M348" t="s">
        <v>24</v>
      </c>
    </row>
    <row r="349" spans="1:13" x14ac:dyDescent="0.25">
      <c r="A349">
        <v>348</v>
      </c>
      <c r="B349" t="s">
        <v>28</v>
      </c>
      <c r="C349">
        <v>57</v>
      </c>
      <c r="D349" t="s">
        <v>29</v>
      </c>
      <c r="E349">
        <v>8.1999999999999993</v>
      </c>
      <c r="F349">
        <v>9</v>
      </c>
      <c r="G349">
        <v>75</v>
      </c>
      <c r="H349">
        <v>3</v>
      </c>
      <c r="I349" t="s">
        <v>15</v>
      </c>
      <c r="J349" t="s">
        <v>55</v>
      </c>
      <c r="K349">
        <v>68</v>
      </c>
      <c r="L349">
        <v>7000</v>
      </c>
      <c r="M349" t="s">
        <v>24</v>
      </c>
    </row>
    <row r="350" spans="1:13" x14ac:dyDescent="0.25">
      <c r="A350">
        <v>349</v>
      </c>
      <c r="B350" t="s">
        <v>28</v>
      </c>
      <c r="C350">
        <v>57</v>
      </c>
      <c r="D350" t="s">
        <v>29</v>
      </c>
      <c r="E350">
        <v>8.1999999999999993</v>
      </c>
      <c r="F350">
        <v>9</v>
      </c>
      <c r="G350">
        <v>75</v>
      </c>
      <c r="H350">
        <v>3</v>
      </c>
      <c r="I350" t="s">
        <v>15</v>
      </c>
      <c r="J350" t="s">
        <v>55</v>
      </c>
      <c r="K350">
        <v>68</v>
      </c>
      <c r="L350">
        <v>7000</v>
      </c>
      <c r="M350" t="s">
        <v>24</v>
      </c>
    </row>
    <row r="351" spans="1:13" x14ac:dyDescent="0.25">
      <c r="A351">
        <v>350</v>
      </c>
      <c r="B351" t="s">
        <v>28</v>
      </c>
      <c r="C351">
        <v>57</v>
      </c>
      <c r="D351" t="s">
        <v>29</v>
      </c>
      <c r="E351">
        <v>8.1</v>
      </c>
      <c r="F351">
        <v>9</v>
      </c>
      <c r="G351">
        <v>75</v>
      </c>
      <c r="H351">
        <v>3</v>
      </c>
      <c r="I351" t="s">
        <v>15</v>
      </c>
      <c r="J351" t="s">
        <v>55</v>
      </c>
      <c r="K351">
        <v>68</v>
      </c>
      <c r="L351">
        <v>7000</v>
      </c>
      <c r="M351" t="s">
        <v>24</v>
      </c>
    </row>
    <row r="352" spans="1:13" x14ac:dyDescent="0.25">
      <c r="A352">
        <v>351</v>
      </c>
      <c r="B352" t="s">
        <v>28</v>
      </c>
      <c r="C352">
        <v>57</v>
      </c>
      <c r="D352" t="s">
        <v>29</v>
      </c>
      <c r="E352">
        <v>8.1</v>
      </c>
      <c r="F352">
        <v>9</v>
      </c>
      <c r="G352">
        <v>75</v>
      </c>
      <c r="H352">
        <v>3</v>
      </c>
      <c r="I352" t="s">
        <v>15</v>
      </c>
      <c r="J352" t="s">
        <v>55</v>
      </c>
      <c r="K352">
        <v>68</v>
      </c>
      <c r="L352">
        <v>7000</v>
      </c>
      <c r="M352" t="s">
        <v>24</v>
      </c>
    </row>
    <row r="353" spans="1:13" x14ac:dyDescent="0.25">
      <c r="A353">
        <v>352</v>
      </c>
      <c r="B353" t="s">
        <v>28</v>
      </c>
      <c r="C353">
        <v>57</v>
      </c>
      <c r="D353" t="s">
        <v>29</v>
      </c>
      <c r="E353">
        <v>8.1</v>
      </c>
      <c r="F353">
        <v>9</v>
      </c>
      <c r="G353">
        <v>75</v>
      </c>
      <c r="H353">
        <v>3</v>
      </c>
      <c r="I353" t="s">
        <v>15</v>
      </c>
      <c r="J353" t="s">
        <v>55</v>
      </c>
      <c r="K353">
        <v>68</v>
      </c>
      <c r="L353">
        <v>7000</v>
      </c>
      <c r="M353" t="s">
        <v>24</v>
      </c>
    </row>
    <row r="354" spans="1:13" x14ac:dyDescent="0.25">
      <c r="A354">
        <v>353</v>
      </c>
      <c r="B354" t="s">
        <v>28</v>
      </c>
      <c r="C354">
        <v>58</v>
      </c>
      <c r="D354" t="s">
        <v>29</v>
      </c>
      <c r="E354">
        <v>8</v>
      </c>
      <c r="F354">
        <v>9</v>
      </c>
      <c r="G354">
        <v>75</v>
      </c>
      <c r="H354">
        <v>3</v>
      </c>
      <c r="I354" t="s">
        <v>15</v>
      </c>
      <c r="J354" t="s">
        <v>55</v>
      </c>
      <c r="K354">
        <v>68</v>
      </c>
      <c r="L354">
        <v>7000</v>
      </c>
      <c r="M354" t="s">
        <v>24</v>
      </c>
    </row>
    <row r="355" spans="1:13" x14ac:dyDescent="0.25">
      <c r="A355">
        <v>354</v>
      </c>
      <c r="B355" t="s">
        <v>28</v>
      </c>
      <c r="C355">
        <v>58</v>
      </c>
      <c r="D355" t="s">
        <v>29</v>
      </c>
      <c r="E355">
        <v>8</v>
      </c>
      <c r="F355">
        <v>9</v>
      </c>
      <c r="G355">
        <v>75</v>
      </c>
      <c r="H355">
        <v>3</v>
      </c>
      <c r="I355" t="s">
        <v>15</v>
      </c>
      <c r="J355" t="s">
        <v>55</v>
      </c>
      <c r="K355">
        <v>68</v>
      </c>
      <c r="L355">
        <v>7000</v>
      </c>
      <c r="M355" t="s">
        <v>24</v>
      </c>
    </row>
    <row r="356" spans="1:13" x14ac:dyDescent="0.25">
      <c r="A356">
        <v>355</v>
      </c>
      <c r="B356" t="s">
        <v>28</v>
      </c>
      <c r="C356">
        <v>58</v>
      </c>
      <c r="D356" t="s">
        <v>29</v>
      </c>
      <c r="E356">
        <v>8</v>
      </c>
      <c r="F356">
        <v>9</v>
      </c>
      <c r="G356">
        <v>75</v>
      </c>
      <c r="H356">
        <v>3</v>
      </c>
      <c r="I356" t="s">
        <v>15</v>
      </c>
      <c r="J356" t="s">
        <v>55</v>
      </c>
      <c r="K356">
        <v>68</v>
      </c>
      <c r="L356">
        <v>7000</v>
      </c>
      <c r="M356" t="s">
        <v>24</v>
      </c>
    </row>
    <row r="357" spans="1:13" x14ac:dyDescent="0.25">
      <c r="A357">
        <v>356</v>
      </c>
      <c r="B357" t="s">
        <v>28</v>
      </c>
      <c r="C357">
        <v>58</v>
      </c>
      <c r="D357" t="s">
        <v>29</v>
      </c>
      <c r="E357">
        <v>8</v>
      </c>
      <c r="F357">
        <v>9</v>
      </c>
      <c r="G357">
        <v>75</v>
      </c>
      <c r="H357">
        <v>3</v>
      </c>
      <c r="I357" t="s">
        <v>15</v>
      </c>
      <c r="J357" t="s">
        <v>55</v>
      </c>
      <c r="K357">
        <v>68</v>
      </c>
      <c r="L357">
        <v>7000</v>
      </c>
      <c r="M357" t="s">
        <v>24</v>
      </c>
    </row>
    <row r="358" spans="1:13" x14ac:dyDescent="0.25">
      <c r="A358">
        <v>357</v>
      </c>
      <c r="B358" t="s">
        <v>28</v>
      </c>
      <c r="C358">
        <v>58</v>
      </c>
      <c r="D358" t="s">
        <v>29</v>
      </c>
      <c r="E358">
        <v>8</v>
      </c>
      <c r="F358">
        <v>9</v>
      </c>
      <c r="G358">
        <v>75</v>
      </c>
      <c r="H358">
        <v>3</v>
      </c>
      <c r="I358" t="s">
        <v>15</v>
      </c>
      <c r="J358" t="s">
        <v>55</v>
      </c>
      <c r="K358">
        <v>68</v>
      </c>
      <c r="L358">
        <v>7000</v>
      </c>
      <c r="M358" t="s">
        <v>24</v>
      </c>
    </row>
    <row r="359" spans="1:13" x14ac:dyDescent="0.25">
      <c r="A359">
        <v>358</v>
      </c>
      <c r="B359" t="s">
        <v>28</v>
      </c>
      <c r="C359">
        <v>58</v>
      </c>
      <c r="D359" t="s">
        <v>29</v>
      </c>
      <c r="E359">
        <v>8</v>
      </c>
      <c r="F359">
        <v>9</v>
      </c>
      <c r="G359">
        <v>75</v>
      </c>
      <c r="H359">
        <v>3</v>
      </c>
      <c r="I359" t="s">
        <v>15</v>
      </c>
      <c r="J359" t="s">
        <v>55</v>
      </c>
      <c r="K359">
        <v>68</v>
      </c>
      <c r="L359">
        <v>7000</v>
      </c>
      <c r="M359" t="s">
        <v>24</v>
      </c>
    </row>
    <row r="360" spans="1:13" x14ac:dyDescent="0.25">
      <c r="A360">
        <v>359</v>
      </c>
      <c r="B360" t="s">
        <v>28</v>
      </c>
      <c r="C360">
        <v>59</v>
      </c>
      <c r="D360" t="s">
        <v>29</v>
      </c>
      <c r="E360">
        <v>8</v>
      </c>
      <c r="F360">
        <v>9</v>
      </c>
      <c r="G360">
        <v>75</v>
      </c>
      <c r="H360">
        <v>3</v>
      </c>
      <c r="I360" t="s">
        <v>15</v>
      </c>
      <c r="J360" t="s">
        <v>55</v>
      </c>
      <c r="K360">
        <v>68</v>
      </c>
      <c r="L360">
        <v>7000</v>
      </c>
      <c r="M360" t="s">
        <v>17</v>
      </c>
    </row>
    <row r="361" spans="1:13" x14ac:dyDescent="0.25">
      <c r="A361">
        <v>360</v>
      </c>
      <c r="B361" t="s">
        <v>28</v>
      </c>
      <c r="C361">
        <v>59</v>
      </c>
      <c r="D361" t="s">
        <v>29</v>
      </c>
      <c r="E361">
        <v>8.1</v>
      </c>
      <c r="F361">
        <v>9</v>
      </c>
      <c r="G361">
        <v>75</v>
      </c>
      <c r="H361">
        <v>3</v>
      </c>
      <c r="I361" t="s">
        <v>15</v>
      </c>
      <c r="J361" t="s">
        <v>55</v>
      </c>
      <c r="K361">
        <v>68</v>
      </c>
      <c r="L361">
        <v>7000</v>
      </c>
      <c r="M361" t="s">
        <v>17</v>
      </c>
    </row>
    <row r="362" spans="1:13" x14ac:dyDescent="0.25">
      <c r="A362">
        <v>361</v>
      </c>
      <c r="B362" t="s">
        <v>28</v>
      </c>
      <c r="C362">
        <v>59</v>
      </c>
      <c r="D362" t="s">
        <v>29</v>
      </c>
      <c r="E362">
        <v>8.1999999999999993</v>
      </c>
      <c r="F362">
        <v>9</v>
      </c>
      <c r="G362">
        <v>75</v>
      </c>
      <c r="H362">
        <v>3</v>
      </c>
      <c r="I362" t="s">
        <v>15</v>
      </c>
      <c r="J362" t="s">
        <v>55</v>
      </c>
      <c r="K362">
        <v>68</v>
      </c>
      <c r="L362">
        <v>7000</v>
      </c>
      <c r="M362" t="s">
        <v>24</v>
      </c>
    </row>
    <row r="363" spans="1:13" x14ac:dyDescent="0.25">
      <c r="A363">
        <v>362</v>
      </c>
      <c r="B363" t="s">
        <v>28</v>
      </c>
      <c r="C363">
        <v>59</v>
      </c>
      <c r="D363" t="s">
        <v>29</v>
      </c>
      <c r="E363">
        <v>8.1999999999999993</v>
      </c>
      <c r="F363">
        <v>9</v>
      </c>
      <c r="G363">
        <v>75</v>
      </c>
      <c r="H363">
        <v>3</v>
      </c>
      <c r="I363" t="s">
        <v>15</v>
      </c>
      <c r="J363" t="s">
        <v>55</v>
      </c>
      <c r="K363">
        <v>68</v>
      </c>
      <c r="L363">
        <v>7000</v>
      </c>
      <c r="M363" t="s">
        <v>24</v>
      </c>
    </row>
    <row r="364" spans="1:13" x14ac:dyDescent="0.25">
      <c r="A364">
        <v>363</v>
      </c>
      <c r="B364" t="s">
        <v>28</v>
      </c>
      <c r="C364">
        <v>59</v>
      </c>
      <c r="D364" t="s">
        <v>29</v>
      </c>
      <c r="E364">
        <v>8.1999999999999993</v>
      </c>
      <c r="F364">
        <v>9</v>
      </c>
      <c r="G364">
        <v>75</v>
      </c>
      <c r="H364">
        <v>3</v>
      </c>
      <c r="I364" t="s">
        <v>15</v>
      </c>
      <c r="J364" t="s">
        <v>55</v>
      </c>
      <c r="K364">
        <v>68</v>
      </c>
      <c r="L364">
        <v>7000</v>
      </c>
      <c r="M364" t="s">
        <v>24</v>
      </c>
    </row>
    <row r="365" spans="1:13" x14ac:dyDescent="0.25">
      <c r="A365">
        <v>364</v>
      </c>
      <c r="B365" t="s">
        <v>28</v>
      </c>
      <c r="C365">
        <v>59</v>
      </c>
      <c r="D365" t="s">
        <v>29</v>
      </c>
      <c r="E365">
        <v>8.1999999999999993</v>
      </c>
      <c r="F365">
        <v>9</v>
      </c>
      <c r="G365">
        <v>75</v>
      </c>
      <c r="H365">
        <v>3</v>
      </c>
      <c r="I365" t="s">
        <v>15</v>
      </c>
      <c r="J365" t="s">
        <v>55</v>
      </c>
      <c r="K365">
        <v>68</v>
      </c>
      <c r="L365">
        <v>7000</v>
      </c>
      <c r="M365" t="s">
        <v>24</v>
      </c>
    </row>
    <row r="366" spans="1:13" x14ac:dyDescent="0.25">
      <c r="A366">
        <v>365</v>
      </c>
      <c r="B366" t="s">
        <v>28</v>
      </c>
      <c r="C366">
        <v>59</v>
      </c>
      <c r="D366" t="s">
        <v>29</v>
      </c>
      <c r="E366">
        <v>8</v>
      </c>
      <c r="F366">
        <v>9</v>
      </c>
      <c r="G366">
        <v>75</v>
      </c>
      <c r="H366">
        <v>3</v>
      </c>
      <c r="I366" t="s">
        <v>15</v>
      </c>
      <c r="J366" t="s">
        <v>55</v>
      </c>
      <c r="K366">
        <v>68</v>
      </c>
      <c r="L366">
        <v>7000</v>
      </c>
      <c r="M366" t="s">
        <v>24</v>
      </c>
    </row>
    <row r="367" spans="1:13" x14ac:dyDescent="0.25">
      <c r="A367">
        <v>366</v>
      </c>
      <c r="B367" t="s">
        <v>28</v>
      </c>
      <c r="C367">
        <v>59</v>
      </c>
      <c r="D367" t="s">
        <v>29</v>
      </c>
      <c r="E367">
        <v>8</v>
      </c>
      <c r="F367">
        <v>9</v>
      </c>
      <c r="G367">
        <v>75</v>
      </c>
      <c r="H367">
        <v>3</v>
      </c>
      <c r="I367" t="s">
        <v>15</v>
      </c>
      <c r="J367" t="s">
        <v>55</v>
      </c>
      <c r="K367">
        <v>68</v>
      </c>
      <c r="L367">
        <v>7000</v>
      </c>
      <c r="M367" t="s">
        <v>24</v>
      </c>
    </row>
    <row r="368" spans="1:13" x14ac:dyDescent="0.25">
      <c r="A368">
        <v>367</v>
      </c>
      <c r="B368" t="s">
        <v>28</v>
      </c>
      <c r="C368">
        <v>59</v>
      </c>
      <c r="D368" t="s">
        <v>29</v>
      </c>
      <c r="E368">
        <v>8.1</v>
      </c>
      <c r="F368">
        <v>9</v>
      </c>
      <c r="G368">
        <v>75</v>
      </c>
      <c r="H368">
        <v>3</v>
      </c>
      <c r="I368" t="s">
        <v>15</v>
      </c>
      <c r="J368" t="s">
        <v>55</v>
      </c>
      <c r="K368">
        <v>68</v>
      </c>
      <c r="L368">
        <v>7000</v>
      </c>
      <c r="M368" t="s">
        <v>24</v>
      </c>
    </row>
    <row r="369" spans="1:13" x14ac:dyDescent="0.25">
      <c r="A369">
        <v>368</v>
      </c>
      <c r="B369" t="s">
        <v>28</v>
      </c>
      <c r="C369">
        <v>59</v>
      </c>
      <c r="D369" t="s">
        <v>29</v>
      </c>
      <c r="E369">
        <v>8</v>
      </c>
      <c r="F369">
        <v>9</v>
      </c>
      <c r="G369">
        <v>75</v>
      </c>
      <c r="H369">
        <v>3</v>
      </c>
      <c r="I369" t="s">
        <v>15</v>
      </c>
      <c r="J369" t="s">
        <v>55</v>
      </c>
      <c r="K369">
        <v>68</v>
      </c>
      <c r="L369">
        <v>7000</v>
      </c>
      <c r="M369" t="s">
        <v>24</v>
      </c>
    </row>
    <row r="370" spans="1:13" x14ac:dyDescent="0.25">
      <c r="A370">
        <v>369</v>
      </c>
      <c r="B370" t="s">
        <v>28</v>
      </c>
      <c r="C370">
        <v>59</v>
      </c>
      <c r="D370" t="s">
        <v>29</v>
      </c>
      <c r="E370">
        <v>8.1</v>
      </c>
      <c r="F370">
        <v>9</v>
      </c>
      <c r="G370">
        <v>75</v>
      </c>
      <c r="H370">
        <v>3</v>
      </c>
      <c r="I370" t="s">
        <v>15</v>
      </c>
      <c r="J370" t="s">
        <v>55</v>
      </c>
      <c r="K370">
        <v>68</v>
      </c>
      <c r="L370">
        <v>7000</v>
      </c>
      <c r="M370" t="s">
        <v>24</v>
      </c>
    </row>
    <row r="371" spans="1:13" x14ac:dyDescent="0.25">
      <c r="A371">
        <v>370</v>
      </c>
      <c r="B371" t="s">
        <v>28</v>
      </c>
      <c r="C371">
        <v>59</v>
      </c>
      <c r="D371" t="s">
        <v>29</v>
      </c>
      <c r="E371">
        <v>8.1</v>
      </c>
      <c r="F371">
        <v>9</v>
      </c>
      <c r="G371">
        <v>75</v>
      </c>
      <c r="H371">
        <v>3</v>
      </c>
      <c r="I371" t="s">
        <v>15</v>
      </c>
      <c r="J371" t="s">
        <v>55</v>
      </c>
      <c r="K371">
        <v>68</v>
      </c>
      <c r="L371">
        <v>7000</v>
      </c>
      <c r="M371" t="s">
        <v>24</v>
      </c>
    </row>
    <row r="372" spans="1:13" x14ac:dyDescent="0.25">
      <c r="A372">
        <v>371</v>
      </c>
      <c r="B372" t="s">
        <v>28</v>
      </c>
      <c r="C372">
        <v>59</v>
      </c>
      <c r="D372" t="s">
        <v>29</v>
      </c>
      <c r="E372">
        <v>8</v>
      </c>
      <c r="F372">
        <v>9</v>
      </c>
      <c r="G372">
        <v>75</v>
      </c>
      <c r="H372">
        <v>3</v>
      </c>
      <c r="I372" t="s">
        <v>15</v>
      </c>
      <c r="J372" t="s">
        <v>55</v>
      </c>
      <c r="K372">
        <v>68</v>
      </c>
      <c r="L372">
        <v>7000</v>
      </c>
      <c r="M372" t="s">
        <v>24</v>
      </c>
    </row>
    <row r="373" spans="1:13" x14ac:dyDescent="0.25">
      <c r="A373">
        <v>372</v>
      </c>
      <c r="B373" t="s">
        <v>28</v>
      </c>
      <c r="C373">
        <v>59</v>
      </c>
      <c r="D373" t="s">
        <v>29</v>
      </c>
      <c r="E373">
        <v>8.1</v>
      </c>
      <c r="F373">
        <v>9</v>
      </c>
      <c r="G373">
        <v>75</v>
      </c>
      <c r="H373">
        <v>3</v>
      </c>
      <c r="I373" t="s">
        <v>15</v>
      </c>
      <c r="J373" t="s">
        <v>55</v>
      </c>
      <c r="K373">
        <v>68</v>
      </c>
      <c r="L373">
        <v>7000</v>
      </c>
      <c r="M373" t="s">
        <v>24</v>
      </c>
    </row>
    <row r="374" spans="1:13" x14ac:dyDescent="0.25">
      <c r="A374">
        <v>373</v>
      </c>
      <c r="B374" t="s">
        <v>28</v>
      </c>
      <c r="C374">
        <v>59</v>
      </c>
      <c r="D374" t="s">
        <v>29</v>
      </c>
      <c r="E374">
        <v>8.1</v>
      </c>
      <c r="F374">
        <v>9</v>
      </c>
      <c r="G374">
        <v>75</v>
      </c>
      <c r="H374">
        <v>3</v>
      </c>
      <c r="I374" t="s">
        <v>15</v>
      </c>
      <c r="J374" t="s">
        <v>55</v>
      </c>
      <c r="K374">
        <v>68</v>
      </c>
      <c r="L374">
        <v>7000</v>
      </c>
      <c r="M374" t="s">
        <v>24</v>
      </c>
    </row>
    <row r="375" spans="1:13" x14ac:dyDescent="0.25">
      <c r="A375">
        <v>374</v>
      </c>
      <c r="B375" t="s">
        <v>28</v>
      </c>
      <c r="C375">
        <v>59</v>
      </c>
      <c r="D375" t="s">
        <v>29</v>
      </c>
      <c r="E375">
        <v>8.1</v>
      </c>
      <c r="F375">
        <v>9</v>
      </c>
      <c r="G375">
        <v>75</v>
      </c>
      <c r="H375">
        <v>3</v>
      </c>
      <c r="I375" t="s">
        <v>15</v>
      </c>
      <c r="J375" t="s">
        <v>55</v>
      </c>
      <c r="K375">
        <v>68</v>
      </c>
      <c r="L375">
        <v>7000</v>
      </c>
      <c r="M375" t="s">
        <v>24</v>
      </c>
    </row>
  </sheetData>
  <autoFilter ref="A1:M375" xr:uid="{F19CD422-BBC0-4A85-8D15-C78D52BE06C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ED569-3733-4359-87AE-8F26A9F5BCF5}">
  <dimension ref="A3:B81"/>
  <sheetViews>
    <sheetView tabSelected="1" workbookViewId="0">
      <selection activeCell="D39" sqref="D39"/>
    </sheetView>
  </sheetViews>
  <sheetFormatPr defaultRowHeight="15" x14ac:dyDescent="0.25"/>
  <cols>
    <col min="1" max="1" width="19.85546875" bestFit="1" customWidth="1"/>
    <col min="2" max="2" width="31.140625" bestFit="1" customWidth="1"/>
    <col min="3" max="3" width="5.5703125" bestFit="1" customWidth="1"/>
    <col min="4" max="5" width="11.28515625" bestFit="1" customWidth="1"/>
  </cols>
  <sheetData>
    <row r="3" spans="1:2" x14ac:dyDescent="0.25">
      <c r="A3" s="1" t="s">
        <v>65</v>
      </c>
      <c r="B3" t="s">
        <v>70</v>
      </c>
    </row>
    <row r="4" spans="1:2" x14ac:dyDescent="0.25">
      <c r="A4" s="2" t="s">
        <v>28</v>
      </c>
      <c r="B4" s="3">
        <v>185</v>
      </c>
    </row>
    <row r="5" spans="1:2" x14ac:dyDescent="0.25">
      <c r="A5" s="2" t="s">
        <v>13</v>
      </c>
      <c r="B5" s="3">
        <v>189</v>
      </c>
    </row>
    <row r="6" spans="1:2" x14ac:dyDescent="0.25">
      <c r="A6" s="2" t="s">
        <v>66</v>
      </c>
      <c r="B6" s="3">
        <v>374</v>
      </c>
    </row>
    <row r="11" spans="1:2" x14ac:dyDescent="0.25">
      <c r="B11">
        <f>GETPIVOTDATA("Person ID",$A$3)</f>
        <v>374</v>
      </c>
    </row>
    <row r="20" spans="1:2" x14ac:dyDescent="0.25">
      <c r="A20" s="1" t="s">
        <v>65</v>
      </c>
      <c r="B20" t="s">
        <v>70</v>
      </c>
    </row>
    <row r="21" spans="1:2" x14ac:dyDescent="0.25">
      <c r="A21" s="2" t="s">
        <v>35</v>
      </c>
      <c r="B21" s="3">
        <v>37</v>
      </c>
    </row>
    <row r="22" spans="1:2" x14ac:dyDescent="0.25">
      <c r="A22" s="2" t="s">
        <v>18</v>
      </c>
      <c r="B22" s="3">
        <v>71</v>
      </c>
    </row>
    <row r="23" spans="1:2" x14ac:dyDescent="0.25">
      <c r="A23" s="2" t="s">
        <v>34</v>
      </c>
      <c r="B23" s="3">
        <v>63</v>
      </c>
    </row>
    <row r="24" spans="1:2" x14ac:dyDescent="0.25">
      <c r="A24" s="2" t="s">
        <v>42</v>
      </c>
      <c r="B24" s="3">
        <v>47</v>
      </c>
    </row>
    <row r="25" spans="1:2" x14ac:dyDescent="0.25">
      <c r="A25" s="2" t="s">
        <v>53</v>
      </c>
      <c r="B25" s="3">
        <v>1</v>
      </c>
    </row>
    <row r="26" spans="1:2" x14ac:dyDescent="0.25">
      <c r="A26" s="2" t="s">
        <v>29</v>
      </c>
      <c r="B26" s="3">
        <v>73</v>
      </c>
    </row>
    <row r="27" spans="1:2" x14ac:dyDescent="0.25">
      <c r="A27" s="2" t="s">
        <v>21</v>
      </c>
      <c r="B27" s="3">
        <v>2</v>
      </c>
    </row>
    <row r="28" spans="1:2" x14ac:dyDescent="0.25">
      <c r="A28" s="2" t="s">
        <v>50</v>
      </c>
      <c r="B28" s="3">
        <v>32</v>
      </c>
    </row>
    <row r="29" spans="1:2" x14ac:dyDescent="0.25">
      <c r="A29" s="2" t="s">
        <v>37</v>
      </c>
      <c r="B29" s="3">
        <v>4</v>
      </c>
    </row>
    <row r="30" spans="1:2" x14ac:dyDescent="0.25">
      <c r="A30" s="2" t="s">
        <v>14</v>
      </c>
      <c r="B30" s="3">
        <v>4</v>
      </c>
    </row>
    <row r="31" spans="1:2" x14ac:dyDescent="0.25">
      <c r="A31" s="2" t="s">
        <v>26</v>
      </c>
      <c r="B31" s="3">
        <v>40</v>
      </c>
    </row>
    <row r="32" spans="1:2" x14ac:dyDescent="0.25">
      <c r="A32" s="2" t="s">
        <v>66</v>
      </c>
      <c r="B32" s="3">
        <v>374</v>
      </c>
    </row>
    <row r="38" spans="1:2" x14ac:dyDescent="0.25">
      <c r="A38" s="1" t="s">
        <v>65</v>
      </c>
      <c r="B38" t="s">
        <v>70</v>
      </c>
    </row>
    <row r="39" spans="1:2" x14ac:dyDescent="0.25">
      <c r="A39" s="2" t="s">
        <v>67</v>
      </c>
      <c r="B39" s="3">
        <v>196</v>
      </c>
    </row>
    <row r="40" spans="1:2" x14ac:dyDescent="0.25">
      <c r="A40" s="2" t="s">
        <v>68</v>
      </c>
      <c r="B40" s="3">
        <v>96</v>
      </c>
    </row>
    <row r="41" spans="1:2" x14ac:dyDescent="0.25">
      <c r="A41" s="2" t="s">
        <v>69</v>
      </c>
      <c r="B41" s="3">
        <v>82</v>
      </c>
    </row>
    <row r="42" spans="1:2" x14ac:dyDescent="0.25">
      <c r="A42" s="2" t="s">
        <v>66</v>
      </c>
      <c r="B42" s="3">
        <v>374</v>
      </c>
    </row>
    <row r="52" spans="1:2" x14ac:dyDescent="0.25">
      <c r="A52" s="1" t="s">
        <v>65</v>
      </c>
      <c r="B52" t="s">
        <v>71</v>
      </c>
    </row>
    <row r="53" spans="1:2" x14ac:dyDescent="0.25">
      <c r="A53" s="2" t="s">
        <v>67</v>
      </c>
      <c r="B53" s="4">
        <v>6874.4897959183672</v>
      </c>
    </row>
    <row r="54" spans="1:2" x14ac:dyDescent="0.25">
      <c r="A54" s="2" t="s">
        <v>68</v>
      </c>
      <c r="B54" s="4">
        <v>6968.75</v>
      </c>
    </row>
    <row r="55" spans="1:2" x14ac:dyDescent="0.25">
      <c r="A55" s="2" t="s">
        <v>69</v>
      </c>
      <c r="B55" s="4">
        <v>6501.2195121951218</v>
      </c>
    </row>
    <row r="56" spans="1:2" x14ac:dyDescent="0.25">
      <c r="A56" s="2" t="s">
        <v>66</v>
      </c>
      <c r="B56" s="4">
        <v>6816.8449197860964</v>
      </c>
    </row>
    <row r="69" spans="1:2" x14ac:dyDescent="0.25">
      <c r="A69" s="1" t="s">
        <v>65</v>
      </c>
      <c r="B69" t="s">
        <v>72</v>
      </c>
    </row>
    <row r="70" spans="1:2" x14ac:dyDescent="0.25">
      <c r="A70" s="2" t="s">
        <v>35</v>
      </c>
      <c r="B70" s="4">
        <v>58.108108108108105</v>
      </c>
    </row>
    <row r="71" spans="1:2" x14ac:dyDescent="0.25">
      <c r="A71" s="2" t="s">
        <v>18</v>
      </c>
      <c r="B71" s="4">
        <v>55.352112676056336</v>
      </c>
    </row>
    <row r="72" spans="1:2" x14ac:dyDescent="0.25">
      <c r="A72" s="2" t="s">
        <v>34</v>
      </c>
      <c r="B72" s="4">
        <v>51.857142857142854</v>
      </c>
    </row>
    <row r="73" spans="1:2" x14ac:dyDescent="0.25">
      <c r="A73" s="2" t="s">
        <v>42</v>
      </c>
      <c r="B73" s="4">
        <v>70.425531914893611</v>
      </c>
    </row>
    <row r="74" spans="1:2" x14ac:dyDescent="0.25">
      <c r="A74" s="2" t="s">
        <v>53</v>
      </c>
      <c r="B74" s="4">
        <v>55</v>
      </c>
    </row>
    <row r="75" spans="1:2" x14ac:dyDescent="0.25">
      <c r="A75" s="2" t="s">
        <v>29</v>
      </c>
      <c r="B75" s="4">
        <v>78.589041095890408</v>
      </c>
    </row>
    <row r="76" spans="1:2" x14ac:dyDescent="0.25">
      <c r="A76" s="2" t="s">
        <v>21</v>
      </c>
      <c r="B76" s="4">
        <v>30</v>
      </c>
    </row>
    <row r="77" spans="1:2" x14ac:dyDescent="0.25">
      <c r="A77" s="2" t="s">
        <v>50</v>
      </c>
      <c r="B77" s="4">
        <v>45</v>
      </c>
    </row>
    <row r="78" spans="1:2" x14ac:dyDescent="0.25">
      <c r="A78" s="2" t="s">
        <v>37</v>
      </c>
      <c r="B78" s="4">
        <v>41</v>
      </c>
    </row>
    <row r="79" spans="1:2" x14ac:dyDescent="0.25">
      <c r="A79" s="2" t="s">
        <v>14</v>
      </c>
      <c r="B79" s="4">
        <v>48</v>
      </c>
    </row>
    <row r="80" spans="1:2" x14ac:dyDescent="0.25">
      <c r="A80" s="2" t="s">
        <v>26</v>
      </c>
      <c r="B80" s="4">
        <v>45.625</v>
      </c>
    </row>
    <row r="81" spans="1:2" x14ac:dyDescent="0.25">
      <c r="A81" s="2" t="s">
        <v>66</v>
      </c>
      <c r="B81" s="4">
        <v>59.171122994652407</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7B9B4-57BA-46DF-878A-8763B031029B}">
  <dimension ref="A1"/>
  <sheetViews>
    <sheetView showGridLines="0" zoomScale="85" zoomScaleNormal="85" workbookViewId="0">
      <selection activeCell="Y3" sqref="Y3"/>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FADFB-F1C4-4B2D-BE7E-DADBE2834B11}">
  <dimension ref="A1:T375"/>
  <sheetViews>
    <sheetView workbookViewId="0">
      <selection activeCell="D9" sqref="D9"/>
    </sheetView>
  </sheetViews>
  <sheetFormatPr defaultRowHeight="15" x14ac:dyDescent="0.25"/>
  <cols>
    <col min="1" max="1" width="11.7109375" bestFit="1" customWidth="1"/>
    <col min="2" max="2" width="9.85546875" bestFit="1" customWidth="1"/>
    <col min="3" max="3" width="6.7109375" bestFit="1" customWidth="1"/>
    <col min="4" max="4" width="19.85546875" bestFit="1" customWidth="1"/>
    <col min="5" max="5" width="16.5703125" bestFit="1" customWidth="1"/>
    <col min="6" max="6" width="17.5703125" bestFit="1" customWidth="1"/>
    <col min="7" max="7" width="23" bestFit="1" customWidth="1"/>
    <col min="8" max="8" width="13.7109375" bestFit="1" customWidth="1"/>
    <col min="9" max="9" width="15" bestFit="1" customWidth="1"/>
    <col min="10" max="10" width="16.7109375" bestFit="1" customWidth="1"/>
    <col min="11" max="11" width="12.5703125" bestFit="1" customWidth="1"/>
    <col min="12" max="12" width="13" bestFit="1" customWidth="1"/>
    <col min="13" max="13" width="16.42578125" bestFit="1" customWidth="1"/>
    <col min="14" max="14" width="13.140625" bestFit="1" customWidth="1"/>
    <col min="15" max="15" width="23.140625" bestFit="1" customWidth="1"/>
    <col min="16" max="16" width="28.5703125" bestFit="1" customWidth="1"/>
    <col min="17" max="17" width="18.7109375" bestFit="1" customWidth="1"/>
    <col min="18" max="18" width="21.7109375" bestFit="1" customWidth="1"/>
    <col min="19" max="19" width="17.5703125" bestFit="1" customWidth="1"/>
    <col min="20" max="20" width="18"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58</v>
      </c>
      <c r="O1" t="s">
        <v>59</v>
      </c>
      <c r="P1" t="s">
        <v>60</v>
      </c>
      <c r="Q1" t="s">
        <v>61</v>
      </c>
      <c r="R1" t="s">
        <v>62</v>
      </c>
      <c r="S1" t="s">
        <v>63</v>
      </c>
      <c r="T1" t="s">
        <v>64</v>
      </c>
    </row>
    <row r="2" spans="1:20" x14ac:dyDescent="0.25">
      <c r="A2">
        <v>1</v>
      </c>
      <c r="B2" t="s">
        <v>13</v>
      </c>
      <c r="C2">
        <v>27</v>
      </c>
      <c r="D2" t="s">
        <v>14</v>
      </c>
      <c r="E2">
        <v>6.1</v>
      </c>
      <c r="F2">
        <v>6</v>
      </c>
      <c r="G2">
        <v>42</v>
      </c>
      <c r="H2">
        <v>6</v>
      </c>
      <c r="I2" t="s">
        <v>15</v>
      </c>
      <c r="J2" t="s">
        <v>16</v>
      </c>
      <c r="K2">
        <v>77</v>
      </c>
      <c r="L2">
        <v>4200</v>
      </c>
      <c r="M2" t="s">
        <v>17</v>
      </c>
      <c r="N2" t="str">
        <f>_xlfn.IFS(C2&gt;=50, "Old", C2&gt;=35, "Adult",C2&gt;=27, "Young Adult")</f>
        <v>Young Adult</v>
      </c>
      <c r="O2" t="str">
        <f>_xlfn.IFS(F2&gt;=8, "Well Rested", F2&gt;=7, "Good Sleep", F2&gt;=6, "Okay Sleep",F2&lt;6, "Need more sleep")</f>
        <v>Okay Sleep</v>
      </c>
      <c r="P2" t="str">
        <f>_xlfn.IFS(G2&gt;=80, "Very High", G2&gt;=65, "High",G2&gt;=50, "Moderate", G2&gt;=40, "Not Good Enough", G2&lt;40,"Low")</f>
        <v>Not Good Enough</v>
      </c>
      <c r="Q2" t="str">
        <f>_xlfn.IFS(H2&gt;=7, "High", H2&gt;=5, "Mid", H2&lt;5, "Low")</f>
        <v>Mid</v>
      </c>
      <c r="R2" t="str">
        <f>_xlfn.IFS(J2&gt;="140/90", "HP Stage 2", J2&gt;="130/85","HP Stage 1",J2&gt;="120/80","Elevated",J2&lt;"120/80","Normal")</f>
        <v>Elevated</v>
      </c>
      <c r="S2" t="str">
        <f>_xlfn.IFS(K2&gt;=80, "Poor", K2&gt;=75, "Below Average", K2&gt;=70, "Average",K2&lt;70,"Good")</f>
        <v>Below Average</v>
      </c>
      <c r="T2" t="str">
        <f>_xlfn.IFS(L2&gt;=8000,"Highly Active", L2&gt;=6000, "Active", L2&gt;=4000, "Low Active",L2&lt;4000, "Sedentary")</f>
        <v>Low Active</v>
      </c>
    </row>
    <row r="3" spans="1:20" x14ac:dyDescent="0.25">
      <c r="A3">
        <v>2</v>
      </c>
      <c r="B3" t="s">
        <v>13</v>
      </c>
      <c r="C3">
        <v>28</v>
      </c>
      <c r="D3" t="s">
        <v>18</v>
      </c>
      <c r="E3">
        <v>6.2</v>
      </c>
      <c r="F3">
        <v>6</v>
      </c>
      <c r="G3">
        <v>60</v>
      </c>
      <c r="H3">
        <v>8</v>
      </c>
      <c r="I3" t="s">
        <v>19</v>
      </c>
      <c r="J3" t="s">
        <v>20</v>
      </c>
      <c r="K3">
        <v>75</v>
      </c>
      <c r="L3">
        <v>10000</v>
      </c>
      <c r="M3" t="s">
        <v>17</v>
      </c>
      <c r="N3" t="str">
        <f t="shared" ref="N3:N66" si="0">_xlfn.IFS(C3&gt;=50, "Old", C3&gt;=35, "Adult",C3&gt;=27, "Young Adult")</f>
        <v>Young Adult</v>
      </c>
      <c r="O3" t="str">
        <f t="shared" ref="O3:O66" si="1">_xlfn.IFS(F3&gt;=8, "Well Rested", F3&gt;=7, "Good Sleep", F3&gt;=6, "Okay Sleep",F3&lt;6, "Need more sleep")</f>
        <v>Okay Sleep</v>
      </c>
      <c r="P3" t="str">
        <f t="shared" ref="P3:P66" si="2">_xlfn.IFS(G3&gt;=80, "Very High", G3&gt;=65, "High",G3&gt;=50, "Moderate", G3&gt;=40, "Not Good Enough", G3&lt;40,"Low")</f>
        <v>Moderate</v>
      </c>
      <c r="Q3" t="str">
        <f t="shared" ref="Q3:Q66" si="3">_xlfn.IFS(H3&gt;=7, "High", H3&gt;=5, "Mid", H3&lt;5, "Low")</f>
        <v>High</v>
      </c>
      <c r="R3" t="str">
        <f t="shared" ref="R3:R66" si="4">_xlfn.IFS(J3&gt;="140/90", "HP Stage 2", J3&gt;="130/85","HP Stage 1",J3&gt;="120/80","Elevated",J3&lt;"120/80","Normal")</f>
        <v>Elevated</v>
      </c>
      <c r="S3" t="str">
        <f t="shared" ref="S3:S66" si="5">_xlfn.IFS(K3&gt;=80, "Poor", K3&gt;=75, "Below Average", K3&gt;=70, "Average",K3&lt;70,"Good")</f>
        <v>Below Average</v>
      </c>
      <c r="T3" t="str">
        <f t="shared" ref="T3:T66" si="6">_xlfn.IFS(L3&gt;=8000,"Highly Active", L3&gt;=6000, "Active", L3&gt;=4000, "Low Active",L3&lt;4000, "Sedentary")</f>
        <v>Highly Active</v>
      </c>
    </row>
    <row r="4" spans="1:20" x14ac:dyDescent="0.25">
      <c r="A4">
        <v>3</v>
      </c>
      <c r="B4" t="s">
        <v>13</v>
      </c>
      <c r="C4">
        <v>28</v>
      </c>
      <c r="D4" t="s">
        <v>18</v>
      </c>
      <c r="E4">
        <v>6.2</v>
      </c>
      <c r="F4">
        <v>6</v>
      </c>
      <c r="G4">
        <v>60</v>
      </c>
      <c r="H4">
        <v>8</v>
      </c>
      <c r="I4" t="s">
        <v>19</v>
      </c>
      <c r="J4" t="s">
        <v>20</v>
      </c>
      <c r="K4">
        <v>75</v>
      </c>
      <c r="L4">
        <v>10000</v>
      </c>
      <c r="M4" t="s">
        <v>17</v>
      </c>
      <c r="N4" t="str">
        <f t="shared" si="0"/>
        <v>Young Adult</v>
      </c>
      <c r="O4" t="str">
        <f t="shared" si="1"/>
        <v>Okay Sleep</v>
      </c>
      <c r="P4" t="str">
        <f t="shared" si="2"/>
        <v>Moderate</v>
      </c>
      <c r="Q4" t="str">
        <f t="shared" si="3"/>
        <v>High</v>
      </c>
      <c r="R4" t="str">
        <f t="shared" si="4"/>
        <v>Elevated</v>
      </c>
      <c r="S4" t="str">
        <f t="shared" si="5"/>
        <v>Below Average</v>
      </c>
      <c r="T4" t="str">
        <f t="shared" si="6"/>
        <v>Highly Active</v>
      </c>
    </row>
    <row r="5" spans="1:20" x14ac:dyDescent="0.25">
      <c r="A5">
        <v>4</v>
      </c>
      <c r="B5" t="s">
        <v>13</v>
      </c>
      <c r="C5">
        <v>28</v>
      </c>
      <c r="D5" t="s">
        <v>21</v>
      </c>
      <c r="E5">
        <v>5.9</v>
      </c>
      <c r="F5">
        <v>4</v>
      </c>
      <c r="G5">
        <v>30</v>
      </c>
      <c r="H5">
        <v>8</v>
      </c>
      <c r="I5" t="s">
        <v>22</v>
      </c>
      <c r="J5" t="s">
        <v>23</v>
      </c>
      <c r="K5">
        <v>85</v>
      </c>
      <c r="L5">
        <v>3000</v>
      </c>
      <c r="M5" t="s">
        <v>24</v>
      </c>
      <c r="N5" t="str">
        <f t="shared" si="0"/>
        <v>Young Adult</v>
      </c>
      <c r="O5" t="str">
        <f t="shared" si="1"/>
        <v>Need more sleep</v>
      </c>
      <c r="P5" t="str">
        <f t="shared" si="2"/>
        <v>Low</v>
      </c>
      <c r="Q5" t="str">
        <f t="shared" si="3"/>
        <v>High</v>
      </c>
      <c r="R5" t="str">
        <f t="shared" si="4"/>
        <v>HP Stage 2</v>
      </c>
      <c r="S5" t="str">
        <f t="shared" si="5"/>
        <v>Poor</v>
      </c>
      <c r="T5" t="str">
        <f t="shared" si="6"/>
        <v>Sedentary</v>
      </c>
    </row>
    <row r="6" spans="1:20" x14ac:dyDescent="0.25">
      <c r="A6">
        <v>5</v>
      </c>
      <c r="B6" t="s">
        <v>13</v>
      </c>
      <c r="C6">
        <v>28</v>
      </c>
      <c r="D6" t="s">
        <v>21</v>
      </c>
      <c r="E6">
        <v>5.9</v>
      </c>
      <c r="F6">
        <v>4</v>
      </c>
      <c r="G6">
        <v>30</v>
      </c>
      <c r="H6">
        <v>8</v>
      </c>
      <c r="I6" t="s">
        <v>22</v>
      </c>
      <c r="J6" t="s">
        <v>23</v>
      </c>
      <c r="K6">
        <v>85</v>
      </c>
      <c r="L6">
        <v>3000</v>
      </c>
      <c r="M6" t="s">
        <v>24</v>
      </c>
      <c r="N6" t="str">
        <f t="shared" si="0"/>
        <v>Young Adult</v>
      </c>
      <c r="O6" t="str">
        <f t="shared" si="1"/>
        <v>Need more sleep</v>
      </c>
      <c r="P6" t="str">
        <f t="shared" si="2"/>
        <v>Low</v>
      </c>
      <c r="Q6" t="str">
        <f t="shared" si="3"/>
        <v>High</v>
      </c>
      <c r="R6" t="str">
        <f t="shared" si="4"/>
        <v>HP Stage 2</v>
      </c>
      <c r="S6" t="str">
        <f t="shared" si="5"/>
        <v>Poor</v>
      </c>
      <c r="T6" t="str">
        <f t="shared" si="6"/>
        <v>Sedentary</v>
      </c>
    </row>
    <row r="7" spans="1:20" x14ac:dyDescent="0.25">
      <c r="A7">
        <v>6</v>
      </c>
      <c r="B7" t="s">
        <v>13</v>
      </c>
      <c r="C7">
        <v>28</v>
      </c>
      <c r="D7" t="s">
        <v>14</v>
      </c>
      <c r="E7">
        <v>5.9</v>
      </c>
      <c r="F7">
        <v>4</v>
      </c>
      <c r="G7">
        <v>30</v>
      </c>
      <c r="H7">
        <v>8</v>
      </c>
      <c r="I7" t="s">
        <v>22</v>
      </c>
      <c r="J7" t="s">
        <v>23</v>
      </c>
      <c r="K7">
        <v>85</v>
      </c>
      <c r="L7">
        <v>3000</v>
      </c>
      <c r="M7" t="s">
        <v>25</v>
      </c>
      <c r="N7" t="str">
        <f t="shared" si="0"/>
        <v>Young Adult</v>
      </c>
      <c r="O7" t="str">
        <f t="shared" si="1"/>
        <v>Need more sleep</v>
      </c>
      <c r="P7" t="str">
        <f t="shared" si="2"/>
        <v>Low</v>
      </c>
      <c r="Q7" t="str">
        <f t="shared" si="3"/>
        <v>High</v>
      </c>
      <c r="R7" t="str">
        <f t="shared" si="4"/>
        <v>HP Stage 2</v>
      </c>
      <c r="S7" t="str">
        <f t="shared" si="5"/>
        <v>Poor</v>
      </c>
      <c r="T7" t="str">
        <f t="shared" si="6"/>
        <v>Sedentary</v>
      </c>
    </row>
    <row r="8" spans="1:20" x14ac:dyDescent="0.25">
      <c r="A8">
        <v>7</v>
      </c>
      <c r="B8" t="s">
        <v>13</v>
      </c>
      <c r="C8">
        <v>29</v>
      </c>
      <c r="D8" t="s">
        <v>26</v>
      </c>
      <c r="E8">
        <v>6.3</v>
      </c>
      <c r="F8">
        <v>6</v>
      </c>
      <c r="G8">
        <v>40</v>
      </c>
      <c r="H8">
        <v>7</v>
      </c>
      <c r="I8" t="s">
        <v>22</v>
      </c>
      <c r="J8" t="s">
        <v>23</v>
      </c>
      <c r="K8">
        <v>82</v>
      </c>
      <c r="L8">
        <v>3500</v>
      </c>
      <c r="M8" t="s">
        <v>25</v>
      </c>
      <c r="N8" t="str">
        <f t="shared" si="0"/>
        <v>Young Adult</v>
      </c>
      <c r="O8" t="str">
        <f t="shared" si="1"/>
        <v>Okay Sleep</v>
      </c>
      <c r="P8" t="str">
        <f t="shared" si="2"/>
        <v>Not Good Enough</v>
      </c>
      <c r="Q8" t="str">
        <f t="shared" si="3"/>
        <v>High</v>
      </c>
      <c r="R8" t="str">
        <f t="shared" si="4"/>
        <v>HP Stage 2</v>
      </c>
      <c r="S8" t="str">
        <f t="shared" si="5"/>
        <v>Poor</v>
      </c>
      <c r="T8" t="str">
        <f t="shared" si="6"/>
        <v>Sedentary</v>
      </c>
    </row>
    <row r="9" spans="1:20" x14ac:dyDescent="0.25">
      <c r="A9">
        <v>8</v>
      </c>
      <c r="B9" t="s">
        <v>13</v>
      </c>
      <c r="C9">
        <v>29</v>
      </c>
      <c r="D9" t="s">
        <v>18</v>
      </c>
      <c r="E9">
        <v>7.8</v>
      </c>
      <c r="F9">
        <v>7</v>
      </c>
      <c r="G9">
        <v>75</v>
      </c>
      <c r="H9">
        <v>6</v>
      </c>
      <c r="I9" t="s">
        <v>19</v>
      </c>
      <c r="J9" t="s">
        <v>27</v>
      </c>
      <c r="K9">
        <v>70</v>
      </c>
      <c r="L9">
        <v>8000</v>
      </c>
      <c r="M9" t="s">
        <v>17</v>
      </c>
      <c r="N9" t="str">
        <f t="shared" si="0"/>
        <v>Young Adult</v>
      </c>
      <c r="O9" t="str">
        <f t="shared" si="1"/>
        <v>Good Sleep</v>
      </c>
      <c r="P9" t="str">
        <f t="shared" si="2"/>
        <v>High</v>
      </c>
      <c r="Q9" t="str">
        <f t="shared" si="3"/>
        <v>Mid</v>
      </c>
      <c r="R9" t="str">
        <f t="shared" si="4"/>
        <v>Elevated</v>
      </c>
      <c r="S9" t="str">
        <f t="shared" si="5"/>
        <v>Average</v>
      </c>
      <c r="T9" t="str">
        <f t="shared" si="6"/>
        <v>Highly Active</v>
      </c>
    </row>
    <row r="10" spans="1:20" x14ac:dyDescent="0.25">
      <c r="A10">
        <v>9</v>
      </c>
      <c r="B10" t="s">
        <v>13</v>
      </c>
      <c r="C10">
        <v>29</v>
      </c>
      <c r="D10" t="s">
        <v>18</v>
      </c>
      <c r="E10">
        <v>7.8</v>
      </c>
      <c r="F10">
        <v>7</v>
      </c>
      <c r="G10">
        <v>75</v>
      </c>
      <c r="H10">
        <v>6</v>
      </c>
      <c r="I10" t="s">
        <v>19</v>
      </c>
      <c r="J10" t="s">
        <v>27</v>
      </c>
      <c r="K10">
        <v>70</v>
      </c>
      <c r="L10">
        <v>8000</v>
      </c>
      <c r="M10" t="s">
        <v>17</v>
      </c>
      <c r="N10" t="str">
        <f t="shared" si="0"/>
        <v>Young Adult</v>
      </c>
      <c r="O10" t="str">
        <f t="shared" si="1"/>
        <v>Good Sleep</v>
      </c>
      <c r="P10" t="str">
        <f t="shared" si="2"/>
        <v>High</v>
      </c>
      <c r="Q10" t="str">
        <f t="shared" si="3"/>
        <v>Mid</v>
      </c>
      <c r="R10" t="str">
        <f t="shared" si="4"/>
        <v>Elevated</v>
      </c>
      <c r="S10" t="str">
        <f t="shared" si="5"/>
        <v>Average</v>
      </c>
      <c r="T10" t="str">
        <f t="shared" si="6"/>
        <v>Highly Active</v>
      </c>
    </row>
    <row r="11" spans="1:20" x14ac:dyDescent="0.25">
      <c r="A11">
        <v>10</v>
      </c>
      <c r="B11" t="s">
        <v>13</v>
      </c>
      <c r="C11">
        <v>29</v>
      </c>
      <c r="D11" t="s">
        <v>18</v>
      </c>
      <c r="E11">
        <v>7.8</v>
      </c>
      <c r="F11">
        <v>7</v>
      </c>
      <c r="G11">
        <v>75</v>
      </c>
      <c r="H11">
        <v>6</v>
      </c>
      <c r="I11" t="s">
        <v>19</v>
      </c>
      <c r="J11" t="s">
        <v>27</v>
      </c>
      <c r="K11">
        <v>70</v>
      </c>
      <c r="L11">
        <v>8000</v>
      </c>
      <c r="M11" t="s">
        <v>17</v>
      </c>
      <c r="N11" t="str">
        <f t="shared" si="0"/>
        <v>Young Adult</v>
      </c>
      <c r="O11" t="str">
        <f t="shared" si="1"/>
        <v>Good Sleep</v>
      </c>
      <c r="P11" t="str">
        <f t="shared" si="2"/>
        <v>High</v>
      </c>
      <c r="Q11" t="str">
        <f t="shared" si="3"/>
        <v>Mid</v>
      </c>
      <c r="R11" t="str">
        <f t="shared" si="4"/>
        <v>Elevated</v>
      </c>
      <c r="S11" t="str">
        <f t="shared" si="5"/>
        <v>Average</v>
      </c>
      <c r="T11" t="str">
        <f t="shared" si="6"/>
        <v>Highly Active</v>
      </c>
    </row>
    <row r="12" spans="1:20" x14ac:dyDescent="0.25">
      <c r="A12">
        <v>11</v>
      </c>
      <c r="B12" t="s">
        <v>13</v>
      </c>
      <c r="C12">
        <v>29</v>
      </c>
      <c r="D12" t="s">
        <v>18</v>
      </c>
      <c r="E12">
        <v>6.1</v>
      </c>
      <c r="F12">
        <v>6</v>
      </c>
      <c r="G12">
        <v>30</v>
      </c>
      <c r="H12">
        <v>8</v>
      </c>
      <c r="I12" t="s">
        <v>19</v>
      </c>
      <c r="J12" t="s">
        <v>27</v>
      </c>
      <c r="K12">
        <v>70</v>
      </c>
      <c r="L12">
        <v>8000</v>
      </c>
      <c r="M12" t="s">
        <v>17</v>
      </c>
      <c r="N12" t="str">
        <f t="shared" si="0"/>
        <v>Young Adult</v>
      </c>
      <c r="O12" t="str">
        <f t="shared" si="1"/>
        <v>Okay Sleep</v>
      </c>
      <c r="P12" t="str">
        <f t="shared" si="2"/>
        <v>Low</v>
      </c>
      <c r="Q12" t="str">
        <f t="shared" si="3"/>
        <v>High</v>
      </c>
      <c r="R12" t="str">
        <f t="shared" si="4"/>
        <v>Elevated</v>
      </c>
      <c r="S12" t="str">
        <f t="shared" si="5"/>
        <v>Average</v>
      </c>
      <c r="T12" t="str">
        <f t="shared" si="6"/>
        <v>Highly Active</v>
      </c>
    </row>
    <row r="13" spans="1:20" x14ac:dyDescent="0.25">
      <c r="A13">
        <v>12</v>
      </c>
      <c r="B13" t="s">
        <v>13</v>
      </c>
      <c r="C13">
        <v>29</v>
      </c>
      <c r="D13" t="s">
        <v>18</v>
      </c>
      <c r="E13">
        <v>7.8</v>
      </c>
      <c r="F13">
        <v>7</v>
      </c>
      <c r="G13">
        <v>75</v>
      </c>
      <c r="H13">
        <v>6</v>
      </c>
      <c r="I13" t="s">
        <v>19</v>
      </c>
      <c r="J13" t="s">
        <v>27</v>
      </c>
      <c r="K13">
        <v>70</v>
      </c>
      <c r="L13">
        <v>8000</v>
      </c>
      <c r="M13" t="s">
        <v>17</v>
      </c>
      <c r="N13" t="str">
        <f t="shared" si="0"/>
        <v>Young Adult</v>
      </c>
      <c r="O13" t="str">
        <f t="shared" si="1"/>
        <v>Good Sleep</v>
      </c>
      <c r="P13" t="str">
        <f t="shared" si="2"/>
        <v>High</v>
      </c>
      <c r="Q13" t="str">
        <f t="shared" si="3"/>
        <v>Mid</v>
      </c>
      <c r="R13" t="str">
        <f t="shared" si="4"/>
        <v>Elevated</v>
      </c>
      <c r="S13" t="str">
        <f t="shared" si="5"/>
        <v>Average</v>
      </c>
      <c r="T13" t="str">
        <f t="shared" si="6"/>
        <v>Highly Active</v>
      </c>
    </row>
    <row r="14" spans="1:20" x14ac:dyDescent="0.25">
      <c r="A14">
        <v>13</v>
      </c>
      <c r="B14" t="s">
        <v>13</v>
      </c>
      <c r="C14">
        <v>29</v>
      </c>
      <c r="D14" t="s">
        <v>18</v>
      </c>
      <c r="E14">
        <v>6.1</v>
      </c>
      <c r="F14">
        <v>6</v>
      </c>
      <c r="G14">
        <v>30</v>
      </c>
      <c r="H14">
        <v>8</v>
      </c>
      <c r="I14" t="s">
        <v>19</v>
      </c>
      <c r="J14" t="s">
        <v>27</v>
      </c>
      <c r="K14">
        <v>70</v>
      </c>
      <c r="L14">
        <v>8000</v>
      </c>
      <c r="M14" t="s">
        <v>17</v>
      </c>
      <c r="N14" t="str">
        <f t="shared" si="0"/>
        <v>Young Adult</v>
      </c>
      <c r="O14" t="str">
        <f t="shared" si="1"/>
        <v>Okay Sleep</v>
      </c>
      <c r="P14" t="str">
        <f t="shared" si="2"/>
        <v>Low</v>
      </c>
      <c r="Q14" t="str">
        <f t="shared" si="3"/>
        <v>High</v>
      </c>
      <c r="R14" t="str">
        <f t="shared" si="4"/>
        <v>Elevated</v>
      </c>
      <c r="S14" t="str">
        <f t="shared" si="5"/>
        <v>Average</v>
      </c>
      <c r="T14" t="str">
        <f t="shared" si="6"/>
        <v>Highly Active</v>
      </c>
    </row>
    <row r="15" spans="1:20" x14ac:dyDescent="0.25">
      <c r="A15">
        <v>14</v>
      </c>
      <c r="B15" t="s">
        <v>13</v>
      </c>
      <c r="C15">
        <v>29</v>
      </c>
      <c r="D15" t="s">
        <v>18</v>
      </c>
      <c r="E15">
        <v>6</v>
      </c>
      <c r="F15">
        <v>6</v>
      </c>
      <c r="G15">
        <v>30</v>
      </c>
      <c r="H15">
        <v>8</v>
      </c>
      <c r="I15" t="s">
        <v>19</v>
      </c>
      <c r="J15" t="s">
        <v>27</v>
      </c>
      <c r="K15">
        <v>70</v>
      </c>
      <c r="L15">
        <v>8000</v>
      </c>
      <c r="M15" t="s">
        <v>17</v>
      </c>
      <c r="N15" t="str">
        <f t="shared" si="0"/>
        <v>Young Adult</v>
      </c>
      <c r="O15" t="str">
        <f t="shared" si="1"/>
        <v>Okay Sleep</v>
      </c>
      <c r="P15" t="str">
        <f t="shared" si="2"/>
        <v>Low</v>
      </c>
      <c r="Q15" t="str">
        <f t="shared" si="3"/>
        <v>High</v>
      </c>
      <c r="R15" t="str">
        <f t="shared" si="4"/>
        <v>Elevated</v>
      </c>
      <c r="S15" t="str">
        <f t="shared" si="5"/>
        <v>Average</v>
      </c>
      <c r="T15" t="str">
        <f t="shared" si="6"/>
        <v>Highly Active</v>
      </c>
    </row>
    <row r="16" spans="1:20" x14ac:dyDescent="0.25">
      <c r="A16">
        <v>15</v>
      </c>
      <c r="B16" t="s">
        <v>13</v>
      </c>
      <c r="C16">
        <v>29</v>
      </c>
      <c r="D16" t="s">
        <v>18</v>
      </c>
      <c r="E16">
        <v>6</v>
      </c>
      <c r="F16">
        <v>6</v>
      </c>
      <c r="G16">
        <v>30</v>
      </c>
      <c r="H16">
        <v>8</v>
      </c>
      <c r="I16" t="s">
        <v>19</v>
      </c>
      <c r="J16" t="s">
        <v>27</v>
      </c>
      <c r="K16">
        <v>70</v>
      </c>
      <c r="L16">
        <v>8000</v>
      </c>
      <c r="M16" t="s">
        <v>17</v>
      </c>
      <c r="N16" t="str">
        <f t="shared" si="0"/>
        <v>Young Adult</v>
      </c>
      <c r="O16" t="str">
        <f t="shared" si="1"/>
        <v>Okay Sleep</v>
      </c>
      <c r="P16" t="str">
        <f t="shared" si="2"/>
        <v>Low</v>
      </c>
      <c r="Q16" t="str">
        <f t="shared" si="3"/>
        <v>High</v>
      </c>
      <c r="R16" t="str">
        <f t="shared" si="4"/>
        <v>Elevated</v>
      </c>
      <c r="S16" t="str">
        <f t="shared" si="5"/>
        <v>Average</v>
      </c>
      <c r="T16" t="str">
        <f t="shared" si="6"/>
        <v>Highly Active</v>
      </c>
    </row>
    <row r="17" spans="1:20" x14ac:dyDescent="0.25">
      <c r="A17">
        <v>16</v>
      </c>
      <c r="B17" t="s">
        <v>13</v>
      </c>
      <c r="C17">
        <v>29</v>
      </c>
      <c r="D17" t="s">
        <v>18</v>
      </c>
      <c r="E17">
        <v>6</v>
      </c>
      <c r="F17">
        <v>6</v>
      </c>
      <c r="G17">
        <v>30</v>
      </c>
      <c r="H17">
        <v>8</v>
      </c>
      <c r="I17" t="s">
        <v>19</v>
      </c>
      <c r="J17" t="s">
        <v>27</v>
      </c>
      <c r="K17">
        <v>70</v>
      </c>
      <c r="L17">
        <v>8000</v>
      </c>
      <c r="M17" t="s">
        <v>17</v>
      </c>
      <c r="N17" t="str">
        <f t="shared" si="0"/>
        <v>Young Adult</v>
      </c>
      <c r="O17" t="str">
        <f t="shared" si="1"/>
        <v>Okay Sleep</v>
      </c>
      <c r="P17" t="str">
        <f t="shared" si="2"/>
        <v>Low</v>
      </c>
      <c r="Q17" t="str">
        <f t="shared" si="3"/>
        <v>High</v>
      </c>
      <c r="R17" t="str">
        <f t="shared" si="4"/>
        <v>Elevated</v>
      </c>
      <c r="S17" t="str">
        <f t="shared" si="5"/>
        <v>Average</v>
      </c>
      <c r="T17" t="str">
        <f t="shared" si="6"/>
        <v>Highly Active</v>
      </c>
    </row>
    <row r="18" spans="1:20" x14ac:dyDescent="0.25">
      <c r="A18">
        <v>17</v>
      </c>
      <c r="B18" t="s">
        <v>28</v>
      </c>
      <c r="C18">
        <v>29</v>
      </c>
      <c r="D18" t="s">
        <v>29</v>
      </c>
      <c r="E18">
        <v>6.5</v>
      </c>
      <c r="F18">
        <v>5</v>
      </c>
      <c r="G18">
        <v>40</v>
      </c>
      <c r="H18">
        <v>7</v>
      </c>
      <c r="I18" t="s">
        <v>30</v>
      </c>
      <c r="J18" t="s">
        <v>31</v>
      </c>
      <c r="K18">
        <v>80</v>
      </c>
      <c r="L18">
        <v>4000</v>
      </c>
      <c r="M18" t="s">
        <v>24</v>
      </c>
      <c r="N18" t="str">
        <f t="shared" si="0"/>
        <v>Young Adult</v>
      </c>
      <c r="O18" t="str">
        <f t="shared" si="1"/>
        <v>Need more sleep</v>
      </c>
      <c r="P18" t="str">
        <f t="shared" si="2"/>
        <v>Not Good Enough</v>
      </c>
      <c r="Q18" t="str">
        <f t="shared" si="3"/>
        <v>High</v>
      </c>
      <c r="R18" t="str">
        <f t="shared" si="4"/>
        <v>HP Stage 1</v>
      </c>
      <c r="S18" t="str">
        <f t="shared" si="5"/>
        <v>Poor</v>
      </c>
      <c r="T18" t="str">
        <f t="shared" si="6"/>
        <v>Low Active</v>
      </c>
    </row>
    <row r="19" spans="1:20" x14ac:dyDescent="0.25">
      <c r="A19">
        <v>18</v>
      </c>
      <c r="B19" t="s">
        <v>13</v>
      </c>
      <c r="C19">
        <v>29</v>
      </c>
      <c r="D19" t="s">
        <v>18</v>
      </c>
      <c r="E19">
        <v>6</v>
      </c>
      <c r="F19">
        <v>6</v>
      </c>
      <c r="G19">
        <v>30</v>
      </c>
      <c r="H19">
        <v>8</v>
      </c>
      <c r="I19" t="s">
        <v>19</v>
      </c>
      <c r="J19" t="s">
        <v>27</v>
      </c>
      <c r="K19">
        <v>70</v>
      </c>
      <c r="L19">
        <v>8000</v>
      </c>
      <c r="M19" t="s">
        <v>24</v>
      </c>
      <c r="N19" t="str">
        <f t="shared" si="0"/>
        <v>Young Adult</v>
      </c>
      <c r="O19" t="str">
        <f t="shared" si="1"/>
        <v>Okay Sleep</v>
      </c>
      <c r="P19" t="str">
        <f t="shared" si="2"/>
        <v>Low</v>
      </c>
      <c r="Q19" t="str">
        <f t="shared" si="3"/>
        <v>High</v>
      </c>
      <c r="R19" t="str">
        <f t="shared" si="4"/>
        <v>Elevated</v>
      </c>
      <c r="S19" t="str">
        <f t="shared" si="5"/>
        <v>Average</v>
      </c>
      <c r="T19" t="str">
        <f t="shared" si="6"/>
        <v>Highly Active</v>
      </c>
    </row>
    <row r="20" spans="1:20" x14ac:dyDescent="0.25">
      <c r="A20">
        <v>19</v>
      </c>
      <c r="B20" t="s">
        <v>28</v>
      </c>
      <c r="C20">
        <v>29</v>
      </c>
      <c r="D20" t="s">
        <v>29</v>
      </c>
      <c r="E20">
        <v>6.5</v>
      </c>
      <c r="F20">
        <v>5</v>
      </c>
      <c r="G20">
        <v>40</v>
      </c>
      <c r="H20">
        <v>7</v>
      </c>
      <c r="I20" t="s">
        <v>30</v>
      </c>
      <c r="J20" t="s">
        <v>31</v>
      </c>
      <c r="K20">
        <v>80</v>
      </c>
      <c r="L20">
        <v>4000</v>
      </c>
      <c r="M20" t="s">
        <v>25</v>
      </c>
      <c r="N20" t="str">
        <f t="shared" si="0"/>
        <v>Young Adult</v>
      </c>
      <c r="O20" t="str">
        <f t="shared" si="1"/>
        <v>Need more sleep</v>
      </c>
      <c r="P20" t="str">
        <f t="shared" si="2"/>
        <v>Not Good Enough</v>
      </c>
      <c r="Q20" t="str">
        <f t="shared" si="3"/>
        <v>High</v>
      </c>
      <c r="R20" t="str">
        <f t="shared" si="4"/>
        <v>HP Stage 1</v>
      </c>
      <c r="S20" t="str">
        <f t="shared" si="5"/>
        <v>Poor</v>
      </c>
      <c r="T20" t="str">
        <f t="shared" si="6"/>
        <v>Low Active</v>
      </c>
    </row>
    <row r="21" spans="1:20" x14ac:dyDescent="0.25">
      <c r="A21">
        <v>20</v>
      </c>
      <c r="B21" t="s">
        <v>13</v>
      </c>
      <c r="C21">
        <v>30</v>
      </c>
      <c r="D21" t="s">
        <v>18</v>
      </c>
      <c r="E21">
        <v>7.6</v>
      </c>
      <c r="F21">
        <v>7</v>
      </c>
      <c r="G21">
        <v>75</v>
      </c>
      <c r="H21">
        <v>6</v>
      </c>
      <c r="I21" t="s">
        <v>19</v>
      </c>
      <c r="J21" t="s">
        <v>27</v>
      </c>
      <c r="K21">
        <v>70</v>
      </c>
      <c r="L21">
        <v>8000</v>
      </c>
      <c r="M21" t="s">
        <v>17</v>
      </c>
      <c r="N21" t="str">
        <f t="shared" si="0"/>
        <v>Young Adult</v>
      </c>
      <c r="O21" t="str">
        <f t="shared" si="1"/>
        <v>Good Sleep</v>
      </c>
      <c r="P21" t="str">
        <f t="shared" si="2"/>
        <v>High</v>
      </c>
      <c r="Q21" t="str">
        <f t="shared" si="3"/>
        <v>Mid</v>
      </c>
      <c r="R21" t="str">
        <f t="shared" si="4"/>
        <v>Elevated</v>
      </c>
      <c r="S21" t="str">
        <f t="shared" si="5"/>
        <v>Average</v>
      </c>
      <c r="T21" t="str">
        <f t="shared" si="6"/>
        <v>Highly Active</v>
      </c>
    </row>
    <row r="22" spans="1:20" x14ac:dyDescent="0.25">
      <c r="A22">
        <v>21</v>
      </c>
      <c r="B22" t="s">
        <v>13</v>
      </c>
      <c r="C22">
        <v>30</v>
      </c>
      <c r="D22" t="s">
        <v>18</v>
      </c>
      <c r="E22">
        <v>7.7</v>
      </c>
      <c r="F22">
        <v>7</v>
      </c>
      <c r="G22">
        <v>75</v>
      </c>
      <c r="H22">
        <v>6</v>
      </c>
      <c r="I22" t="s">
        <v>19</v>
      </c>
      <c r="J22" t="s">
        <v>27</v>
      </c>
      <c r="K22">
        <v>70</v>
      </c>
      <c r="L22">
        <v>8000</v>
      </c>
      <c r="M22" t="s">
        <v>17</v>
      </c>
      <c r="N22" t="str">
        <f t="shared" si="0"/>
        <v>Young Adult</v>
      </c>
      <c r="O22" t="str">
        <f t="shared" si="1"/>
        <v>Good Sleep</v>
      </c>
      <c r="P22" t="str">
        <f t="shared" si="2"/>
        <v>High</v>
      </c>
      <c r="Q22" t="str">
        <f t="shared" si="3"/>
        <v>Mid</v>
      </c>
      <c r="R22" t="str">
        <f t="shared" si="4"/>
        <v>Elevated</v>
      </c>
      <c r="S22" t="str">
        <f t="shared" si="5"/>
        <v>Average</v>
      </c>
      <c r="T22" t="str">
        <f t="shared" si="6"/>
        <v>Highly Active</v>
      </c>
    </row>
    <row r="23" spans="1:20" x14ac:dyDescent="0.25">
      <c r="A23">
        <v>22</v>
      </c>
      <c r="B23" t="s">
        <v>13</v>
      </c>
      <c r="C23">
        <v>30</v>
      </c>
      <c r="D23" t="s">
        <v>18</v>
      </c>
      <c r="E23">
        <v>7.7</v>
      </c>
      <c r="F23">
        <v>7</v>
      </c>
      <c r="G23">
        <v>75</v>
      </c>
      <c r="H23">
        <v>6</v>
      </c>
      <c r="I23" t="s">
        <v>19</v>
      </c>
      <c r="J23" t="s">
        <v>27</v>
      </c>
      <c r="K23">
        <v>70</v>
      </c>
      <c r="L23">
        <v>8000</v>
      </c>
      <c r="M23" t="s">
        <v>17</v>
      </c>
      <c r="N23" t="str">
        <f t="shared" si="0"/>
        <v>Young Adult</v>
      </c>
      <c r="O23" t="str">
        <f t="shared" si="1"/>
        <v>Good Sleep</v>
      </c>
      <c r="P23" t="str">
        <f t="shared" si="2"/>
        <v>High</v>
      </c>
      <c r="Q23" t="str">
        <f t="shared" si="3"/>
        <v>Mid</v>
      </c>
      <c r="R23" t="str">
        <f t="shared" si="4"/>
        <v>Elevated</v>
      </c>
      <c r="S23" t="str">
        <f t="shared" si="5"/>
        <v>Average</v>
      </c>
      <c r="T23" t="str">
        <f t="shared" si="6"/>
        <v>Highly Active</v>
      </c>
    </row>
    <row r="24" spans="1:20" x14ac:dyDescent="0.25">
      <c r="A24">
        <v>23</v>
      </c>
      <c r="B24" t="s">
        <v>13</v>
      </c>
      <c r="C24">
        <v>30</v>
      </c>
      <c r="D24" t="s">
        <v>18</v>
      </c>
      <c r="E24">
        <v>7.7</v>
      </c>
      <c r="F24">
        <v>7</v>
      </c>
      <c r="G24">
        <v>75</v>
      </c>
      <c r="H24">
        <v>6</v>
      </c>
      <c r="I24" t="s">
        <v>19</v>
      </c>
      <c r="J24" t="s">
        <v>27</v>
      </c>
      <c r="K24">
        <v>70</v>
      </c>
      <c r="L24">
        <v>8000</v>
      </c>
      <c r="M24" t="s">
        <v>17</v>
      </c>
      <c r="N24" t="str">
        <f t="shared" si="0"/>
        <v>Young Adult</v>
      </c>
      <c r="O24" t="str">
        <f t="shared" si="1"/>
        <v>Good Sleep</v>
      </c>
      <c r="P24" t="str">
        <f t="shared" si="2"/>
        <v>High</v>
      </c>
      <c r="Q24" t="str">
        <f t="shared" si="3"/>
        <v>Mid</v>
      </c>
      <c r="R24" t="str">
        <f t="shared" si="4"/>
        <v>Elevated</v>
      </c>
      <c r="S24" t="str">
        <f t="shared" si="5"/>
        <v>Average</v>
      </c>
      <c r="T24" t="str">
        <f t="shared" si="6"/>
        <v>Highly Active</v>
      </c>
    </row>
    <row r="25" spans="1:20" x14ac:dyDescent="0.25">
      <c r="A25">
        <v>24</v>
      </c>
      <c r="B25" t="s">
        <v>13</v>
      </c>
      <c r="C25">
        <v>30</v>
      </c>
      <c r="D25" t="s">
        <v>18</v>
      </c>
      <c r="E25">
        <v>7.7</v>
      </c>
      <c r="F25">
        <v>7</v>
      </c>
      <c r="G25">
        <v>75</v>
      </c>
      <c r="H25">
        <v>6</v>
      </c>
      <c r="I25" t="s">
        <v>19</v>
      </c>
      <c r="J25" t="s">
        <v>27</v>
      </c>
      <c r="K25">
        <v>70</v>
      </c>
      <c r="L25">
        <v>8000</v>
      </c>
      <c r="M25" t="s">
        <v>17</v>
      </c>
      <c r="N25" t="str">
        <f t="shared" si="0"/>
        <v>Young Adult</v>
      </c>
      <c r="O25" t="str">
        <f t="shared" si="1"/>
        <v>Good Sleep</v>
      </c>
      <c r="P25" t="str">
        <f t="shared" si="2"/>
        <v>High</v>
      </c>
      <c r="Q25" t="str">
        <f t="shared" si="3"/>
        <v>Mid</v>
      </c>
      <c r="R25" t="str">
        <f t="shared" si="4"/>
        <v>Elevated</v>
      </c>
      <c r="S25" t="str">
        <f t="shared" si="5"/>
        <v>Average</v>
      </c>
      <c r="T25" t="str">
        <f t="shared" si="6"/>
        <v>Highly Active</v>
      </c>
    </row>
    <row r="26" spans="1:20" x14ac:dyDescent="0.25">
      <c r="A26">
        <v>25</v>
      </c>
      <c r="B26" t="s">
        <v>13</v>
      </c>
      <c r="C26">
        <v>30</v>
      </c>
      <c r="D26" t="s">
        <v>18</v>
      </c>
      <c r="E26">
        <v>7.8</v>
      </c>
      <c r="F26">
        <v>7</v>
      </c>
      <c r="G26">
        <v>75</v>
      </c>
      <c r="H26">
        <v>6</v>
      </c>
      <c r="I26" t="s">
        <v>19</v>
      </c>
      <c r="J26" t="s">
        <v>27</v>
      </c>
      <c r="K26">
        <v>70</v>
      </c>
      <c r="L26">
        <v>8000</v>
      </c>
      <c r="M26" t="s">
        <v>17</v>
      </c>
      <c r="N26" t="str">
        <f t="shared" si="0"/>
        <v>Young Adult</v>
      </c>
      <c r="O26" t="str">
        <f t="shared" si="1"/>
        <v>Good Sleep</v>
      </c>
      <c r="P26" t="str">
        <f t="shared" si="2"/>
        <v>High</v>
      </c>
      <c r="Q26" t="str">
        <f t="shared" si="3"/>
        <v>Mid</v>
      </c>
      <c r="R26" t="str">
        <f t="shared" si="4"/>
        <v>Elevated</v>
      </c>
      <c r="S26" t="str">
        <f t="shared" si="5"/>
        <v>Average</v>
      </c>
      <c r="T26" t="str">
        <f t="shared" si="6"/>
        <v>Highly Active</v>
      </c>
    </row>
    <row r="27" spans="1:20" x14ac:dyDescent="0.25">
      <c r="A27">
        <v>26</v>
      </c>
      <c r="B27" t="s">
        <v>13</v>
      </c>
      <c r="C27">
        <v>30</v>
      </c>
      <c r="D27" t="s">
        <v>18</v>
      </c>
      <c r="E27">
        <v>7.9</v>
      </c>
      <c r="F27">
        <v>7</v>
      </c>
      <c r="G27">
        <v>75</v>
      </c>
      <c r="H27">
        <v>6</v>
      </c>
      <c r="I27" t="s">
        <v>19</v>
      </c>
      <c r="J27" t="s">
        <v>27</v>
      </c>
      <c r="K27">
        <v>70</v>
      </c>
      <c r="L27">
        <v>8000</v>
      </c>
      <c r="M27" t="s">
        <v>17</v>
      </c>
      <c r="N27" t="str">
        <f t="shared" si="0"/>
        <v>Young Adult</v>
      </c>
      <c r="O27" t="str">
        <f t="shared" si="1"/>
        <v>Good Sleep</v>
      </c>
      <c r="P27" t="str">
        <f t="shared" si="2"/>
        <v>High</v>
      </c>
      <c r="Q27" t="str">
        <f t="shared" si="3"/>
        <v>Mid</v>
      </c>
      <c r="R27" t="str">
        <f t="shared" si="4"/>
        <v>Elevated</v>
      </c>
      <c r="S27" t="str">
        <f t="shared" si="5"/>
        <v>Average</v>
      </c>
      <c r="T27" t="str">
        <f t="shared" si="6"/>
        <v>Highly Active</v>
      </c>
    </row>
    <row r="28" spans="1:20" x14ac:dyDescent="0.25">
      <c r="A28">
        <v>27</v>
      </c>
      <c r="B28" t="s">
        <v>13</v>
      </c>
      <c r="C28">
        <v>30</v>
      </c>
      <c r="D28" t="s">
        <v>18</v>
      </c>
      <c r="E28">
        <v>7.8</v>
      </c>
      <c r="F28">
        <v>7</v>
      </c>
      <c r="G28">
        <v>75</v>
      </c>
      <c r="H28">
        <v>6</v>
      </c>
      <c r="I28" t="s">
        <v>19</v>
      </c>
      <c r="J28" t="s">
        <v>27</v>
      </c>
      <c r="K28">
        <v>70</v>
      </c>
      <c r="L28">
        <v>8000</v>
      </c>
      <c r="M28" t="s">
        <v>17</v>
      </c>
      <c r="N28" t="str">
        <f t="shared" si="0"/>
        <v>Young Adult</v>
      </c>
      <c r="O28" t="str">
        <f t="shared" si="1"/>
        <v>Good Sleep</v>
      </c>
      <c r="P28" t="str">
        <f t="shared" si="2"/>
        <v>High</v>
      </c>
      <c r="Q28" t="str">
        <f t="shared" si="3"/>
        <v>Mid</v>
      </c>
      <c r="R28" t="str">
        <f t="shared" si="4"/>
        <v>Elevated</v>
      </c>
      <c r="S28" t="str">
        <f t="shared" si="5"/>
        <v>Average</v>
      </c>
      <c r="T28" t="str">
        <f t="shared" si="6"/>
        <v>Highly Active</v>
      </c>
    </row>
    <row r="29" spans="1:20" x14ac:dyDescent="0.25">
      <c r="A29">
        <v>28</v>
      </c>
      <c r="B29" t="s">
        <v>13</v>
      </c>
      <c r="C29">
        <v>30</v>
      </c>
      <c r="D29" t="s">
        <v>18</v>
      </c>
      <c r="E29">
        <v>7.9</v>
      </c>
      <c r="F29">
        <v>7</v>
      </c>
      <c r="G29">
        <v>75</v>
      </c>
      <c r="H29">
        <v>6</v>
      </c>
      <c r="I29" t="s">
        <v>19</v>
      </c>
      <c r="J29" t="s">
        <v>27</v>
      </c>
      <c r="K29">
        <v>70</v>
      </c>
      <c r="L29">
        <v>8000</v>
      </c>
      <c r="M29" t="s">
        <v>17</v>
      </c>
      <c r="N29" t="str">
        <f t="shared" si="0"/>
        <v>Young Adult</v>
      </c>
      <c r="O29" t="str">
        <f t="shared" si="1"/>
        <v>Good Sleep</v>
      </c>
      <c r="P29" t="str">
        <f t="shared" si="2"/>
        <v>High</v>
      </c>
      <c r="Q29" t="str">
        <f t="shared" si="3"/>
        <v>Mid</v>
      </c>
      <c r="R29" t="str">
        <f t="shared" si="4"/>
        <v>Elevated</v>
      </c>
      <c r="S29" t="str">
        <f t="shared" si="5"/>
        <v>Average</v>
      </c>
      <c r="T29" t="str">
        <f t="shared" si="6"/>
        <v>Highly Active</v>
      </c>
    </row>
    <row r="30" spans="1:20" x14ac:dyDescent="0.25">
      <c r="A30">
        <v>29</v>
      </c>
      <c r="B30" t="s">
        <v>13</v>
      </c>
      <c r="C30">
        <v>30</v>
      </c>
      <c r="D30" t="s">
        <v>18</v>
      </c>
      <c r="E30">
        <v>7.9</v>
      </c>
      <c r="F30">
        <v>7</v>
      </c>
      <c r="G30">
        <v>75</v>
      </c>
      <c r="H30">
        <v>6</v>
      </c>
      <c r="I30" t="s">
        <v>19</v>
      </c>
      <c r="J30" t="s">
        <v>27</v>
      </c>
      <c r="K30">
        <v>70</v>
      </c>
      <c r="L30">
        <v>8000</v>
      </c>
      <c r="M30" t="s">
        <v>17</v>
      </c>
      <c r="N30" t="str">
        <f t="shared" si="0"/>
        <v>Young Adult</v>
      </c>
      <c r="O30" t="str">
        <f t="shared" si="1"/>
        <v>Good Sleep</v>
      </c>
      <c r="P30" t="str">
        <f t="shared" si="2"/>
        <v>High</v>
      </c>
      <c r="Q30" t="str">
        <f t="shared" si="3"/>
        <v>Mid</v>
      </c>
      <c r="R30" t="str">
        <f t="shared" si="4"/>
        <v>Elevated</v>
      </c>
      <c r="S30" t="str">
        <f t="shared" si="5"/>
        <v>Average</v>
      </c>
      <c r="T30" t="str">
        <f t="shared" si="6"/>
        <v>Highly Active</v>
      </c>
    </row>
    <row r="31" spans="1:20" x14ac:dyDescent="0.25">
      <c r="A31">
        <v>30</v>
      </c>
      <c r="B31" t="s">
        <v>13</v>
      </c>
      <c r="C31">
        <v>30</v>
      </c>
      <c r="D31" t="s">
        <v>18</v>
      </c>
      <c r="E31">
        <v>7.9</v>
      </c>
      <c r="F31">
        <v>7</v>
      </c>
      <c r="G31">
        <v>75</v>
      </c>
      <c r="H31">
        <v>6</v>
      </c>
      <c r="I31" t="s">
        <v>19</v>
      </c>
      <c r="J31" t="s">
        <v>27</v>
      </c>
      <c r="K31">
        <v>70</v>
      </c>
      <c r="L31">
        <v>8000</v>
      </c>
      <c r="M31" t="s">
        <v>17</v>
      </c>
      <c r="N31" t="str">
        <f t="shared" si="0"/>
        <v>Young Adult</v>
      </c>
      <c r="O31" t="str">
        <f t="shared" si="1"/>
        <v>Good Sleep</v>
      </c>
      <c r="P31" t="str">
        <f t="shared" si="2"/>
        <v>High</v>
      </c>
      <c r="Q31" t="str">
        <f t="shared" si="3"/>
        <v>Mid</v>
      </c>
      <c r="R31" t="str">
        <f t="shared" si="4"/>
        <v>Elevated</v>
      </c>
      <c r="S31" t="str">
        <f t="shared" si="5"/>
        <v>Average</v>
      </c>
      <c r="T31" t="str">
        <f t="shared" si="6"/>
        <v>Highly Active</v>
      </c>
    </row>
    <row r="32" spans="1:20" x14ac:dyDescent="0.25">
      <c r="A32">
        <v>31</v>
      </c>
      <c r="B32" t="s">
        <v>28</v>
      </c>
      <c r="C32">
        <v>30</v>
      </c>
      <c r="D32" t="s">
        <v>29</v>
      </c>
      <c r="E32">
        <v>6.4</v>
      </c>
      <c r="F32">
        <v>5</v>
      </c>
      <c r="G32">
        <v>35</v>
      </c>
      <c r="H32">
        <v>7</v>
      </c>
      <c r="I32" t="s">
        <v>30</v>
      </c>
      <c r="J32" t="s">
        <v>32</v>
      </c>
      <c r="K32">
        <v>78</v>
      </c>
      <c r="L32">
        <v>4100</v>
      </c>
      <c r="M32" t="s">
        <v>24</v>
      </c>
      <c r="N32" t="str">
        <f t="shared" si="0"/>
        <v>Young Adult</v>
      </c>
      <c r="O32" t="str">
        <f t="shared" si="1"/>
        <v>Need more sleep</v>
      </c>
      <c r="P32" t="str">
        <f t="shared" si="2"/>
        <v>Low</v>
      </c>
      <c r="Q32" t="str">
        <f t="shared" si="3"/>
        <v>High</v>
      </c>
      <c r="R32" t="str">
        <f t="shared" si="4"/>
        <v>HP Stage 1</v>
      </c>
      <c r="S32" t="str">
        <f t="shared" si="5"/>
        <v>Below Average</v>
      </c>
      <c r="T32" t="str">
        <f t="shared" si="6"/>
        <v>Low Active</v>
      </c>
    </row>
    <row r="33" spans="1:20" x14ac:dyDescent="0.25">
      <c r="A33">
        <v>32</v>
      </c>
      <c r="B33" t="s">
        <v>28</v>
      </c>
      <c r="C33">
        <v>30</v>
      </c>
      <c r="D33" t="s">
        <v>29</v>
      </c>
      <c r="E33">
        <v>6.4</v>
      </c>
      <c r="F33">
        <v>5</v>
      </c>
      <c r="G33">
        <v>35</v>
      </c>
      <c r="H33">
        <v>7</v>
      </c>
      <c r="I33" t="s">
        <v>30</v>
      </c>
      <c r="J33" t="s">
        <v>32</v>
      </c>
      <c r="K33">
        <v>78</v>
      </c>
      <c r="L33">
        <v>4100</v>
      </c>
      <c r="M33" t="s">
        <v>25</v>
      </c>
      <c r="N33" t="str">
        <f t="shared" si="0"/>
        <v>Young Adult</v>
      </c>
      <c r="O33" t="str">
        <f t="shared" si="1"/>
        <v>Need more sleep</v>
      </c>
      <c r="P33" t="str">
        <f t="shared" si="2"/>
        <v>Low</v>
      </c>
      <c r="Q33" t="str">
        <f t="shared" si="3"/>
        <v>High</v>
      </c>
      <c r="R33" t="str">
        <f t="shared" si="4"/>
        <v>HP Stage 1</v>
      </c>
      <c r="S33" t="str">
        <f t="shared" si="5"/>
        <v>Below Average</v>
      </c>
      <c r="T33" t="str">
        <f t="shared" si="6"/>
        <v>Low Active</v>
      </c>
    </row>
    <row r="34" spans="1:20" x14ac:dyDescent="0.25">
      <c r="A34">
        <v>33</v>
      </c>
      <c r="B34" t="s">
        <v>28</v>
      </c>
      <c r="C34">
        <v>31</v>
      </c>
      <c r="D34" t="s">
        <v>29</v>
      </c>
      <c r="E34">
        <v>7.9</v>
      </c>
      <c r="F34">
        <v>8</v>
      </c>
      <c r="G34">
        <v>75</v>
      </c>
      <c r="H34">
        <v>4</v>
      </c>
      <c r="I34" t="s">
        <v>30</v>
      </c>
      <c r="J34" t="s">
        <v>33</v>
      </c>
      <c r="K34">
        <v>69</v>
      </c>
      <c r="L34">
        <v>6800</v>
      </c>
      <c r="M34" t="s">
        <v>17</v>
      </c>
      <c r="N34" t="str">
        <f t="shared" si="0"/>
        <v>Young Adult</v>
      </c>
      <c r="O34" t="str">
        <f t="shared" si="1"/>
        <v>Well Rested</v>
      </c>
      <c r="P34" t="str">
        <f t="shared" si="2"/>
        <v>High</v>
      </c>
      <c r="Q34" t="str">
        <f t="shared" si="3"/>
        <v>Low</v>
      </c>
      <c r="R34" t="str">
        <f t="shared" si="4"/>
        <v>Normal</v>
      </c>
      <c r="S34" t="str">
        <f t="shared" si="5"/>
        <v>Good</v>
      </c>
      <c r="T34" t="str">
        <f t="shared" si="6"/>
        <v>Active</v>
      </c>
    </row>
    <row r="35" spans="1:20" x14ac:dyDescent="0.25">
      <c r="A35">
        <v>34</v>
      </c>
      <c r="B35" t="s">
        <v>13</v>
      </c>
      <c r="C35">
        <v>31</v>
      </c>
      <c r="D35" t="s">
        <v>18</v>
      </c>
      <c r="E35">
        <v>6.1</v>
      </c>
      <c r="F35">
        <v>6</v>
      </c>
      <c r="G35">
        <v>30</v>
      </c>
      <c r="H35">
        <v>8</v>
      </c>
      <c r="I35" t="s">
        <v>19</v>
      </c>
      <c r="J35" t="s">
        <v>20</v>
      </c>
      <c r="K35">
        <v>72</v>
      </c>
      <c r="L35">
        <v>5000</v>
      </c>
      <c r="M35" t="s">
        <v>17</v>
      </c>
      <c r="N35" t="str">
        <f t="shared" si="0"/>
        <v>Young Adult</v>
      </c>
      <c r="O35" t="str">
        <f t="shared" si="1"/>
        <v>Okay Sleep</v>
      </c>
      <c r="P35" t="str">
        <f t="shared" si="2"/>
        <v>Low</v>
      </c>
      <c r="Q35" t="str">
        <f t="shared" si="3"/>
        <v>High</v>
      </c>
      <c r="R35" t="str">
        <f t="shared" si="4"/>
        <v>Elevated</v>
      </c>
      <c r="S35" t="str">
        <f t="shared" si="5"/>
        <v>Average</v>
      </c>
      <c r="T35" t="str">
        <f t="shared" si="6"/>
        <v>Low Active</v>
      </c>
    </row>
    <row r="36" spans="1:20" x14ac:dyDescent="0.25">
      <c r="A36">
        <v>35</v>
      </c>
      <c r="B36" t="s">
        <v>13</v>
      </c>
      <c r="C36">
        <v>31</v>
      </c>
      <c r="D36" t="s">
        <v>18</v>
      </c>
      <c r="E36">
        <v>7.7</v>
      </c>
      <c r="F36">
        <v>7</v>
      </c>
      <c r="G36">
        <v>75</v>
      </c>
      <c r="H36">
        <v>6</v>
      </c>
      <c r="I36" t="s">
        <v>19</v>
      </c>
      <c r="J36" t="s">
        <v>27</v>
      </c>
      <c r="K36">
        <v>70</v>
      </c>
      <c r="L36">
        <v>8000</v>
      </c>
      <c r="M36" t="s">
        <v>17</v>
      </c>
      <c r="N36" t="str">
        <f t="shared" si="0"/>
        <v>Young Adult</v>
      </c>
      <c r="O36" t="str">
        <f t="shared" si="1"/>
        <v>Good Sleep</v>
      </c>
      <c r="P36" t="str">
        <f t="shared" si="2"/>
        <v>High</v>
      </c>
      <c r="Q36" t="str">
        <f t="shared" si="3"/>
        <v>Mid</v>
      </c>
      <c r="R36" t="str">
        <f t="shared" si="4"/>
        <v>Elevated</v>
      </c>
      <c r="S36" t="str">
        <f t="shared" si="5"/>
        <v>Average</v>
      </c>
      <c r="T36" t="str">
        <f t="shared" si="6"/>
        <v>Highly Active</v>
      </c>
    </row>
    <row r="37" spans="1:20" x14ac:dyDescent="0.25">
      <c r="A37">
        <v>36</v>
      </c>
      <c r="B37" t="s">
        <v>13</v>
      </c>
      <c r="C37">
        <v>31</v>
      </c>
      <c r="D37" t="s">
        <v>18</v>
      </c>
      <c r="E37">
        <v>6.1</v>
      </c>
      <c r="F37">
        <v>6</v>
      </c>
      <c r="G37">
        <v>30</v>
      </c>
      <c r="H37">
        <v>8</v>
      </c>
      <c r="I37" t="s">
        <v>19</v>
      </c>
      <c r="J37" t="s">
        <v>20</v>
      </c>
      <c r="K37">
        <v>72</v>
      </c>
      <c r="L37">
        <v>5000</v>
      </c>
      <c r="M37" t="s">
        <v>17</v>
      </c>
      <c r="N37" t="str">
        <f t="shared" si="0"/>
        <v>Young Adult</v>
      </c>
      <c r="O37" t="str">
        <f t="shared" si="1"/>
        <v>Okay Sleep</v>
      </c>
      <c r="P37" t="str">
        <f t="shared" si="2"/>
        <v>Low</v>
      </c>
      <c r="Q37" t="str">
        <f t="shared" si="3"/>
        <v>High</v>
      </c>
      <c r="R37" t="str">
        <f t="shared" si="4"/>
        <v>Elevated</v>
      </c>
      <c r="S37" t="str">
        <f t="shared" si="5"/>
        <v>Average</v>
      </c>
      <c r="T37" t="str">
        <f t="shared" si="6"/>
        <v>Low Active</v>
      </c>
    </row>
    <row r="38" spans="1:20" x14ac:dyDescent="0.25">
      <c r="A38">
        <v>37</v>
      </c>
      <c r="B38" t="s">
        <v>13</v>
      </c>
      <c r="C38">
        <v>31</v>
      </c>
      <c r="D38" t="s">
        <v>18</v>
      </c>
      <c r="E38">
        <v>6.1</v>
      </c>
      <c r="F38">
        <v>6</v>
      </c>
      <c r="G38">
        <v>30</v>
      </c>
      <c r="H38">
        <v>8</v>
      </c>
      <c r="I38" t="s">
        <v>19</v>
      </c>
      <c r="J38" t="s">
        <v>20</v>
      </c>
      <c r="K38">
        <v>72</v>
      </c>
      <c r="L38">
        <v>5000</v>
      </c>
      <c r="M38" t="s">
        <v>17</v>
      </c>
      <c r="N38" t="str">
        <f t="shared" si="0"/>
        <v>Young Adult</v>
      </c>
      <c r="O38" t="str">
        <f t="shared" si="1"/>
        <v>Okay Sleep</v>
      </c>
      <c r="P38" t="str">
        <f t="shared" si="2"/>
        <v>Low</v>
      </c>
      <c r="Q38" t="str">
        <f t="shared" si="3"/>
        <v>High</v>
      </c>
      <c r="R38" t="str">
        <f t="shared" si="4"/>
        <v>Elevated</v>
      </c>
      <c r="S38" t="str">
        <f t="shared" si="5"/>
        <v>Average</v>
      </c>
      <c r="T38" t="str">
        <f t="shared" si="6"/>
        <v>Low Active</v>
      </c>
    </row>
    <row r="39" spans="1:20" x14ac:dyDescent="0.25">
      <c r="A39">
        <v>38</v>
      </c>
      <c r="B39" t="s">
        <v>13</v>
      </c>
      <c r="C39">
        <v>31</v>
      </c>
      <c r="D39" t="s">
        <v>18</v>
      </c>
      <c r="E39">
        <v>7.6</v>
      </c>
      <c r="F39">
        <v>7</v>
      </c>
      <c r="G39">
        <v>75</v>
      </c>
      <c r="H39">
        <v>6</v>
      </c>
      <c r="I39" t="s">
        <v>19</v>
      </c>
      <c r="J39" t="s">
        <v>27</v>
      </c>
      <c r="K39">
        <v>70</v>
      </c>
      <c r="L39">
        <v>8000</v>
      </c>
      <c r="M39" t="s">
        <v>17</v>
      </c>
      <c r="N39" t="str">
        <f t="shared" si="0"/>
        <v>Young Adult</v>
      </c>
      <c r="O39" t="str">
        <f t="shared" si="1"/>
        <v>Good Sleep</v>
      </c>
      <c r="P39" t="str">
        <f t="shared" si="2"/>
        <v>High</v>
      </c>
      <c r="Q39" t="str">
        <f t="shared" si="3"/>
        <v>Mid</v>
      </c>
      <c r="R39" t="str">
        <f t="shared" si="4"/>
        <v>Elevated</v>
      </c>
      <c r="S39" t="str">
        <f t="shared" si="5"/>
        <v>Average</v>
      </c>
      <c r="T39" t="str">
        <f t="shared" si="6"/>
        <v>Highly Active</v>
      </c>
    </row>
    <row r="40" spans="1:20" x14ac:dyDescent="0.25">
      <c r="A40">
        <v>39</v>
      </c>
      <c r="B40" t="s">
        <v>13</v>
      </c>
      <c r="C40">
        <v>31</v>
      </c>
      <c r="D40" t="s">
        <v>18</v>
      </c>
      <c r="E40">
        <v>7.6</v>
      </c>
      <c r="F40">
        <v>7</v>
      </c>
      <c r="G40">
        <v>75</v>
      </c>
      <c r="H40">
        <v>6</v>
      </c>
      <c r="I40" t="s">
        <v>19</v>
      </c>
      <c r="J40" t="s">
        <v>27</v>
      </c>
      <c r="K40">
        <v>70</v>
      </c>
      <c r="L40">
        <v>8000</v>
      </c>
      <c r="M40" t="s">
        <v>17</v>
      </c>
      <c r="N40" t="str">
        <f t="shared" si="0"/>
        <v>Young Adult</v>
      </c>
      <c r="O40" t="str">
        <f t="shared" si="1"/>
        <v>Good Sleep</v>
      </c>
      <c r="P40" t="str">
        <f t="shared" si="2"/>
        <v>High</v>
      </c>
      <c r="Q40" t="str">
        <f t="shared" si="3"/>
        <v>Mid</v>
      </c>
      <c r="R40" t="str">
        <f t="shared" si="4"/>
        <v>Elevated</v>
      </c>
      <c r="S40" t="str">
        <f t="shared" si="5"/>
        <v>Average</v>
      </c>
      <c r="T40" t="str">
        <f t="shared" si="6"/>
        <v>Highly Active</v>
      </c>
    </row>
    <row r="41" spans="1:20" x14ac:dyDescent="0.25">
      <c r="A41">
        <v>40</v>
      </c>
      <c r="B41" t="s">
        <v>13</v>
      </c>
      <c r="C41">
        <v>31</v>
      </c>
      <c r="D41" t="s">
        <v>18</v>
      </c>
      <c r="E41">
        <v>7.6</v>
      </c>
      <c r="F41">
        <v>7</v>
      </c>
      <c r="G41">
        <v>75</v>
      </c>
      <c r="H41">
        <v>6</v>
      </c>
      <c r="I41" t="s">
        <v>19</v>
      </c>
      <c r="J41" t="s">
        <v>27</v>
      </c>
      <c r="K41">
        <v>70</v>
      </c>
      <c r="L41">
        <v>8000</v>
      </c>
      <c r="M41" t="s">
        <v>17</v>
      </c>
      <c r="N41" t="str">
        <f t="shared" si="0"/>
        <v>Young Adult</v>
      </c>
      <c r="O41" t="str">
        <f t="shared" si="1"/>
        <v>Good Sleep</v>
      </c>
      <c r="P41" t="str">
        <f t="shared" si="2"/>
        <v>High</v>
      </c>
      <c r="Q41" t="str">
        <f t="shared" si="3"/>
        <v>Mid</v>
      </c>
      <c r="R41" t="str">
        <f t="shared" si="4"/>
        <v>Elevated</v>
      </c>
      <c r="S41" t="str">
        <f t="shared" si="5"/>
        <v>Average</v>
      </c>
      <c r="T41" t="str">
        <f t="shared" si="6"/>
        <v>Highly Active</v>
      </c>
    </row>
    <row r="42" spans="1:20" x14ac:dyDescent="0.25">
      <c r="A42">
        <v>41</v>
      </c>
      <c r="B42" t="s">
        <v>13</v>
      </c>
      <c r="C42">
        <v>31</v>
      </c>
      <c r="D42" t="s">
        <v>18</v>
      </c>
      <c r="E42">
        <v>7.7</v>
      </c>
      <c r="F42">
        <v>7</v>
      </c>
      <c r="G42">
        <v>75</v>
      </c>
      <c r="H42">
        <v>6</v>
      </c>
      <c r="I42" t="s">
        <v>19</v>
      </c>
      <c r="J42" t="s">
        <v>27</v>
      </c>
      <c r="K42">
        <v>70</v>
      </c>
      <c r="L42">
        <v>8000</v>
      </c>
      <c r="M42" t="s">
        <v>17</v>
      </c>
      <c r="N42" t="str">
        <f t="shared" si="0"/>
        <v>Young Adult</v>
      </c>
      <c r="O42" t="str">
        <f t="shared" si="1"/>
        <v>Good Sleep</v>
      </c>
      <c r="P42" t="str">
        <f t="shared" si="2"/>
        <v>High</v>
      </c>
      <c r="Q42" t="str">
        <f t="shared" si="3"/>
        <v>Mid</v>
      </c>
      <c r="R42" t="str">
        <f t="shared" si="4"/>
        <v>Elevated</v>
      </c>
      <c r="S42" t="str">
        <f t="shared" si="5"/>
        <v>Average</v>
      </c>
      <c r="T42" t="str">
        <f t="shared" si="6"/>
        <v>Highly Active</v>
      </c>
    </row>
    <row r="43" spans="1:20" x14ac:dyDescent="0.25">
      <c r="A43">
        <v>42</v>
      </c>
      <c r="B43" t="s">
        <v>13</v>
      </c>
      <c r="C43">
        <v>31</v>
      </c>
      <c r="D43" t="s">
        <v>18</v>
      </c>
      <c r="E43">
        <v>7.7</v>
      </c>
      <c r="F43">
        <v>7</v>
      </c>
      <c r="G43">
        <v>75</v>
      </c>
      <c r="H43">
        <v>6</v>
      </c>
      <c r="I43" t="s">
        <v>19</v>
      </c>
      <c r="J43" t="s">
        <v>27</v>
      </c>
      <c r="K43">
        <v>70</v>
      </c>
      <c r="L43">
        <v>8000</v>
      </c>
      <c r="M43" t="s">
        <v>17</v>
      </c>
      <c r="N43" t="str">
        <f t="shared" si="0"/>
        <v>Young Adult</v>
      </c>
      <c r="O43" t="str">
        <f t="shared" si="1"/>
        <v>Good Sleep</v>
      </c>
      <c r="P43" t="str">
        <f t="shared" si="2"/>
        <v>High</v>
      </c>
      <c r="Q43" t="str">
        <f t="shared" si="3"/>
        <v>Mid</v>
      </c>
      <c r="R43" t="str">
        <f t="shared" si="4"/>
        <v>Elevated</v>
      </c>
      <c r="S43" t="str">
        <f t="shared" si="5"/>
        <v>Average</v>
      </c>
      <c r="T43" t="str">
        <f t="shared" si="6"/>
        <v>Highly Active</v>
      </c>
    </row>
    <row r="44" spans="1:20" x14ac:dyDescent="0.25">
      <c r="A44">
        <v>43</v>
      </c>
      <c r="B44" t="s">
        <v>13</v>
      </c>
      <c r="C44">
        <v>31</v>
      </c>
      <c r="D44" t="s">
        <v>18</v>
      </c>
      <c r="E44">
        <v>7.7</v>
      </c>
      <c r="F44">
        <v>7</v>
      </c>
      <c r="G44">
        <v>75</v>
      </c>
      <c r="H44">
        <v>6</v>
      </c>
      <c r="I44" t="s">
        <v>19</v>
      </c>
      <c r="J44" t="s">
        <v>27</v>
      </c>
      <c r="K44">
        <v>70</v>
      </c>
      <c r="L44">
        <v>8000</v>
      </c>
      <c r="M44" t="s">
        <v>17</v>
      </c>
      <c r="N44" t="str">
        <f t="shared" si="0"/>
        <v>Young Adult</v>
      </c>
      <c r="O44" t="str">
        <f t="shared" si="1"/>
        <v>Good Sleep</v>
      </c>
      <c r="P44" t="str">
        <f t="shared" si="2"/>
        <v>High</v>
      </c>
      <c r="Q44" t="str">
        <f t="shared" si="3"/>
        <v>Mid</v>
      </c>
      <c r="R44" t="str">
        <f t="shared" si="4"/>
        <v>Elevated</v>
      </c>
      <c r="S44" t="str">
        <f t="shared" si="5"/>
        <v>Average</v>
      </c>
      <c r="T44" t="str">
        <f t="shared" si="6"/>
        <v>Highly Active</v>
      </c>
    </row>
    <row r="45" spans="1:20" x14ac:dyDescent="0.25">
      <c r="A45">
        <v>44</v>
      </c>
      <c r="B45" t="s">
        <v>13</v>
      </c>
      <c r="C45">
        <v>31</v>
      </c>
      <c r="D45" t="s">
        <v>18</v>
      </c>
      <c r="E45">
        <v>7.8</v>
      </c>
      <c r="F45">
        <v>7</v>
      </c>
      <c r="G45">
        <v>75</v>
      </c>
      <c r="H45">
        <v>6</v>
      </c>
      <c r="I45" t="s">
        <v>19</v>
      </c>
      <c r="J45" t="s">
        <v>27</v>
      </c>
      <c r="K45">
        <v>70</v>
      </c>
      <c r="L45">
        <v>8000</v>
      </c>
      <c r="M45" t="s">
        <v>17</v>
      </c>
      <c r="N45" t="str">
        <f t="shared" si="0"/>
        <v>Young Adult</v>
      </c>
      <c r="O45" t="str">
        <f t="shared" si="1"/>
        <v>Good Sleep</v>
      </c>
      <c r="P45" t="str">
        <f t="shared" si="2"/>
        <v>High</v>
      </c>
      <c r="Q45" t="str">
        <f t="shared" si="3"/>
        <v>Mid</v>
      </c>
      <c r="R45" t="str">
        <f t="shared" si="4"/>
        <v>Elevated</v>
      </c>
      <c r="S45" t="str">
        <f t="shared" si="5"/>
        <v>Average</v>
      </c>
      <c r="T45" t="str">
        <f t="shared" si="6"/>
        <v>Highly Active</v>
      </c>
    </row>
    <row r="46" spans="1:20" x14ac:dyDescent="0.25">
      <c r="A46">
        <v>45</v>
      </c>
      <c r="B46" t="s">
        <v>13</v>
      </c>
      <c r="C46">
        <v>31</v>
      </c>
      <c r="D46" t="s">
        <v>18</v>
      </c>
      <c r="E46">
        <v>7.7</v>
      </c>
      <c r="F46">
        <v>7</v>
      </c>
      <c r="G46">
        <v>75</v>
      </c>
      <c r="H46">
        <v>6</v>
      </c>
      <c r="I46" t="s">
        <v>19</v>
      </c>
      <c r="J46" t="s">
        <v>27</v>
      </c>
      <c r="K46">
        <v>70</v>
      </c>
      <c r="L46">
        <v>8000</v>
      </c>
      <c r="M46" t="s">
        <v>17</v>
      </c>
      <c r="N46" t="str">
        <f t="shared" si="0"/>
        <v>Young Adult</v>
      </c>
      <c r="O46" t="str">
        <f t="shared" si="1"/>
        <v>Good Sleep</v>
      </c>
      <c r="P46" t="str">
        <f t="shared" si="2"/>
        <v>High</v>
      </c>
      <c r="Q46" t="str">
        <f t="shared" si="3"/>
        <v>Mid</v>
      </c>
      <c r="R46" t="str">
        <f t="shared" si="4"/>
        <v>Elevated</v>
      </c>
      <c r="S46" t="str">
        <f t="shared" si="5"/>
        <v>Average</v>
      </c>
      <c r="T46" t="str">
        <f t="shared" si="6"/>
        <v>Highly Active</v>
      </c>
    </row>
    <row r="47" spans="1:20" x14ac:dyDescent="0.25">
      <c r="A47">
        <v>46</v>
      </c>
      <c r="B47" t="s">
        <v>13</v>
      </c>
      <c r="C47">
        <v>31</v>
      </c>
      <c r="D47" t="s">
        <v>18</v>
      </c>
      <c r="E47">
        <v>7.8</v>
      </c>
      <c r="F47">
        <v>7</v>
      </c>
      <c r="G47">
        <v>75</v>
      </c>
      <c r="H47">
        <v>6</v>
      </c>
      <c r="I47" t="s">
        <v>19</v>
      </c>
      <c r="J47" t="s">
        <v>27</v>
      </c>
      <c r="K47">
        <v>70</v>
      </c>
      <c r="L47">
        <v>8000</v>
      </c>
      <c r="M47" t="s">
        <v>17</v>
      </c>
      <c r="N47" t="str">
        <f t="shared" si="0"/>
        <v>Young Adult</v>
      </c>
      <c r="O47" t="str">
        <f t="shared" si="1"/>
        <v>Good Sleep</v>
      </c>
      <c r="P47" t="str">
        <f t="shared" si="2"/>
        <v>High</v>
      </c>
      <c r="Q47" t="str">
        <f t="shared" si="3"/>
        <v>Mid</v>
      </c>
      <c r="R47" t="str">
        <f t="shared" si="4"/>
        <v>Elevated</v>
      </c>
      <c r="S47" t="str">
        <f t="shared" si="5"/>
        <v>Average</v>
      </c>
      <c r="T47" t="str">
        <f t="shared" si="6"/>
        <v>Highly Active</v>
      </c>
    </row>
    <row r="48" spans="1:20" x14ac:dyDescent="0.25">
      <c r="A48">
        <v>47</v>
      </c>
      <c r="B48" t="s">
        <v>13</v>
      </c>
      <c r="C48">
        <v>31</v>
      </c>
      <c r="D48" t="s">
        <v>18</v>
      </c>
      <c r="E48">
        <v>7.7</v>
      </c>
      <c r="F48">
        <v>7</v>
      </c>
      <c r="G48">
        <v>75</v>
      </c>
      <c r="H48">
        <v>6</v>
      </c>
      <c r="I48" t="s">
        <v>19</v>
      </c>
      <c r="J48" t="s">
        <v>27</v>
      </c>
      <c r="K48">
        <v>70</v>
      </c>
      <c r="L48">
        <v>8000</v>
      </c>
      <c r="M48" t="s">
        <v>17</v>
      </c>
      <c r="N48" t="str">
        <f t="shared" si="0"/>
        <v>Young Adult</v>
      </c>
      <c r="O48" t="str">
        <f t="shared" si="1"/>
        <v>Good Sleep</v>
      </c>
      <c r="P48" t="str">
        <f t="shared" si="2"/>
        <v>High</v>
      </c>
      <c r="Q48" t="str">
        <f t="shared" si="3"/>
        <v>Mid</v>
      </c>
      <c r="R48" t="str">
        <f t="shared" si="4"/>
        <v>Elevated</v>
      </c>
      <c r="S48" t="str">
        <f t="shared" si="5"/>
        <v>Average</v>
      </c>
      <c r="T48" t="str">
        <f t="shared" si="6"/>
        <v>Highly Active</v>
      </c>
    </row>
    <row r="49" spans="1:20" x14ac:dyDescent="0.25">
      <c r="A49">
        <v>48</v>
      </c>
      <c r="B49" t="s">
        <v>13</v>
      </c>
      <c r="C49">
        <v>31</v>
      </c>
      <c r="D49" t="s">
        <v>18</v>
      </c>
      <c r="E49">
        <v>7.8</v>
      </c>
      <c r="F49">
        <v>7</v>
      </c>
      <c r="G49">
        <v>75</v>
      </c>
      <c r="H49">
        <v>6</v>
      </c>
      <c r="I49" t="s">
        <v>19</v>
      </c>
      <c r="J49" t="s">
        <v>27</v>
      </c>
      <c r="K49">
        <v>70</v>
      </c>
      <c r="L49">
        <v>8000</v>
      </c>
      <c r="M49" t="s">
        <v>17</v>
      </c>
      <c r="N49" t="str">
        <f t="shared" si="0"/>
        <v>Young Adult</v>
      </c>
      <c r="O49" t="str">
        <f t="shared" si="1"/>
        <v>Good Sleep</v>
      </c>
      <c r="P49" t="str">
        <f t="shared" si="2"/>
        <v>High</v>
      </c>
      <c r="Q49" t="str">
        <f t="shared" si="3"/>
        <v>Mid</v>
      </c>
      <c r="R49" t="str">
        <f t="shared" si="4"/>
        <v>Elevated</v>
      </c>
      <c r="S49" t="str">
        <f t="shared" si="5"/>
        <v>Average</v>
      </c>
      <c r="T49" t="str">
        <f t="shared" si="6"/>
        <v>Highly Active</v>
      </c>
    </row>
    <row r="50" spans="1:20" x14ac:dyDescent="0.25">
      <c r="A50">
        <v>49</v>
      </c>
      <c r="B50" t="s">
        <v>13</v>
      </c>
      <c r="C50">
        <v>31</v>
      </c>
      <c r="D50" t="s">
        <v>18</v>
      </c>
      <c r="E50">
        <v>7.7</v>
      </c>
      <c r="F50">
        <v>7</v>
      </c>
      <c r="G50">
        <v>75</v>
      </c>
      <c r="H50">
        <v>6</v>
      </c>
      <c r="I50" t="s">
        <v>19</v>
      </c>
      <c r="J50" t="s">
        <v>27</v>
      </c>
      <c r="K50">
        <v>70</v>
      </c>
      <c r="L50">
        <v>8000</v>
      </c>
      <c r="M50" t="s">
        <v>17</v>
      </c>
      <c r="N50" t="str">
        <f t="shared" si="0"/>
        <v>Young Adult</v>
      </c>
      <c r="O50" t="str">
        <f t="shared" si="1"/>
        <v>Good Sleep</v>
      </c>
      <c r="P50" t="str">
        <f t="shared" si="2"/>
        <v>High</v>
      </c>
      <c r="Q50" t="str">
        <f t="shared" si="3"/>
        <v>Mid</v>
      </c>
      <c r="R50" t="str">
        <f t="shared" si="4"/>
        <v>Elevated</v>
      </c>
      <c r="S50" t="str">
        <f t="shared" si="5"/>
        <v>Average</v>
      </c>
      <c r="T50" t="str">
        <f t="shared" si="6"/>
        <v>Highly Active</v>
      </c>
    </row>
    <row r="51" spans="1:20" x14ac:dyDescent="0.25">
      <c r="A51">
        <v>50</v>
      </c>
      <c r="B51" t="s">
        <v>13</v>
      </c>
      <c r="C51">
        <v>31</v>
      </c>
      <c r="D51" t="s">
        <v>18</v>
      </c>
      <c r="E51">
        <v>7.7</v>
      </c>
      <c r="F51">
        <v>7</v>
      </c>
      <c r="G51">
        <v>75</v>
      </c>
      <c r="H51">
        <v>6</v>
      </c>
      <c r="I51" t="s">
        <v>19</v>
      </c>
      <c r="J51" t="s">
        <v>27</v>
      </c>
      <c r="K51">
        <v>70</v>
      </c>
      <c r="L51">
        <v>8000</v>
      </c>
      <c r="M51" t="s">
        <v>24</v>
      </c>
      <c r="N51" t="str">
        <f t="shared" si="0"/>
        <v>Young Adult</v>
      </c>
      <c r="O51" t="str">
        <f t="shared" si="1"/>
        <v>Good Sleep</v>
      </c>
      <c r="P51" t="str">
        <f t="shared" si="2"/>
        <v>High</v>
      </c>
      <c r="Q51" t="str">
        <f t="shared" si="3"/>
        <v>Mid</v>
      </c>
      <c r="R51" t="str">
        <f t="shared" si="4"/>
        <v>Elevated</v>
      </c>
      <c r="S51" t="str">
        <f t="shared" si="5"/>
        <v>Average</v>
      </c>
      <c r="T51" t="str">
        <f t="shared" si="6"/>
        <v>Highly Active</v>
      </c>
    </row>
    <row r="52" spans="1:20" x14ac:dyDescent="0.25">
      <c r="A52">
        <v>51</v>
      </c>
      <c r="B52" t="s">
        <v>13</v>
      </c>
      <c r="C52">
        <v>32</v>
      </c>
      <c r="D52" t="s">
        <v>34</v>
      </c>
      <c r="E52">
        <v>7.5</v>
      </c>
      <c r="F52">
        <v>8</v>
      </c>
      <c r="G52">
        <v>45</v>
      </c>
      <c r="H52">
        <v>3</v>
      </c>
      <c r="I52" t="s">
        <v>19</v>
      </c>
      <c r="J52" t="s">
        <v>27</v>
      </c>
      <c r="K52">
        <v>70</v>
      </c>
      <c r="L52">
        <v>8000</v>
      </c>
      <c r="M52" t="s">
        <v>17</v>
      </c>
      <c r="N52" t="str">
        <f t="shared" si="0"/>
        <v>Young Adult</v>
      </c>
      <c r="O52" t="str">
        <f t="shared" si="1"/>
        <v>Well Rested</v>
      </c>
      <c r="P52" t="str">
        <f t="shared" si="2"/>
        <v>Not Good Enough</v>
      </c>
      <c r="Q52" t="str">
        <f t="shared" si="3"/>
        <v>Low</v>
      </c>
      <c r="R52" t="str">
        <f t="shared" si="4"/>
        <v>Elevated</v>
      </c>
      <c r="S52" t="str">
        <f t="shared" si="5"/>
        <v>Average</v>
      </c>
      <c r="T52" t="str">
        <f t="shared" si="6"/>
        <v>Highly Active</v>
      </c>
    </row>
    <row r="53" spans="1:20" x14ac:dyDescent="0.25">
      <c r="A53">
        <v>52</v>
      </c>
      <c r="B53" t="s">
        <v>13</v>
      </c>
      <c r="C53">
        <v>32</v>
      </c>
      <c r="D53" t="s">
        <v>34</v>
      </c>
      <c r="E53">
        <v>7.5</v>
      </c>
      <c r="F53">
        <v>8</v>
      </c>
      <c r="G53">
        <v>45</v>
      </c>
      <c r="H53">
        <v>3</v>
      </c>
      <c r="I53" t="s">
        <v>19</v>
      </c>
      <c r="J53" t="s">
        <v>27</v>
      </c>
      <c r="K53">
        <v>70</v>
      </c>
      <c r="L53">
        <v>8000</v>
      </c>
      <c r="M53" t="s">
        <v>17</v>
      </c>
      <c r="N53" t="str">
        <f t="shared" si="0"/>
        <v>Young Adult</v>
      </c>
      <c r="O53" t="str">
        <f t="shared" si="1"/>
        <v>Well Rested</v>
      </c>
      <c r="P53" t="str">
        <f t="shared" si="2"/>
        <v>Not Good Enough</v>
      </c>
      <c r="Q53" t="str">
        <f t="shared" si="3"/>
        <v>Low</v>
      </c>
      <c r="R53" t="str">
        <f t="shared" si="4"/>
        <v>Elevated</v>
      </c>
      <c r="S53" t="str">
        <f t="shared" si="5"/>
        <v>Average</v>
      </c>
      <c r="T53" t="str">
        <f t="shared" si="6"/>
        <v>Highly Active</v>
      </c>
    </row>
    <row r="54" spans="1:20" x14ac:dyDescent="0.25">
      <c r="A54">
        <v>53</v>
      </c>
      <c r="B54" t="s">
        <v>13</v>
      </c>
      <c r="C54">
        <v>32</v>
      </c>
      <c r="D54" t="s">
        <v>18</v>
      </c>
      <c r="E54">
        <v>6</v>
      </c>
      <c r="F54">
        <v>6</v>
      </c>
      <c r="G54">
        <v>30</v>
      </c>
      <c r="H54">
        <v>8</v>
      </c>
      <c r="I54" t="s">
        <v>19</v>
      </c>
      <c r="J54" t="s">
        <v>20</v>
      </c>
      <c r="K54">
        <v>72</v>
      </c>
      <c r="L54">
        <v>5000</v>
      </c>
      <c r="M54" t="s">
        <v>17</v>
      </c>
      <c r="N54" t="str">
        <f t="shared" si="0"/>
        <v>Young Adult</v>
      </c>
      <c r="O54" t="str">
        <f t="shared" si="1"/>
        <v>Okay Sleep</v>
      </c>
      <c r="P54" t="str">
        <f t="shared" si="2"/>
        <v>Low</v>
      </c>
      <c r="Q54" t="str">
        <f t="shared" si="3"/>
        <v>High</v>
      </c>
      <c r="R54" t="str">
        <f t="shared" si="4"/>
        <v>Elevated</v>
      </c>
      <c r="S54" t="str">
        <f t="shared" si="5"/>
        <v>Average</v>
      </c>
      <c r="T54" t="str">
        <f t="shared" si="6"/>
        <v>Low Active</v>
      </c>
    </row>
    <row r="55" spans="1:20" x14ac:dyDescent="0.25">
      <c r="A55">
        <v>54</v>
      </c>
      <c r="B55" t="s">
        <v>13</v>
      </c>
      <c r="C55">
        <v>32</v>
      </c>
      <c r="D55" t="s">
        <v>18</v>
      </c>
      <c r="E55">
        <v>7.6</v>
      </c>
      <c r="F55">
        <v>7</v>
      </c>
      <c r="G55">
        <v>75</v>
      </c>
      <c r="H55">
        <v>6</v>
      </c>
      <c r="I55" t="s">
        <v>19</v>
      </c>
      <c r="J55" t="s">
        <v>27</v>
      </c>
      <c r="K55">
        <v>70</v>
      </c>
      <c r="L55">
        <v>8000</v>
      </c>
      <c r="M55" t="s">
        <v>17</v>
      </c>
      <c r="N55" t="str">
        <f t="shared" si="0"/>
        <v>Young Adult</v>
      </c>
      <c r="O55" t="str">
        <f t="shared" si="1"/>
        <v>Good Sleep</v>
      </c>
      <c r="P55" t="str">
        <f t="shared" si="2"/>
        <v>High</v>
      </c>
      <c r="Q55" t="str">
        <f t="shared" si="3"/>
        <v>Mid</v>
      </c>
      <c r="R55" t="str">
        <f t="shared" si="4"/>
        <v>Elevated</v>
      </c>
      <c r="S55" t="str">
        <f t="shared" si="5"/>
        <v>Average</v>
      </c>
      <c r="T55" t="str">
        <f t="shared" si="6"/>
        <v>Highly Active</v>
      </c>
    </row>
    <row r="56" spans="1:20" x14ac:dyDescent="0.25">
      <c r="A56">
        <v>55</v>
      </c>
      <c r="B56" t="s">
        <v>13</v>
      </c>
      <c r="C56">
        <v>32</v>
      </c>
      <c r="D56" t="s">
        <v>18</v>
      </c>
      <c r="E56">
        <v>6</v>
      </c>
      <c r="F56">
        <v>6</v>
      </c>
      <c r="G56">
        <v>30</v>
      </c>
      <c r="H56">
        <v>8</v>
      </c>
      <c r="I56" t="s">
        <v>19</v>
      </c>
      <c r="J56" t="s">
        <v>20</v>
      </c>
      <c r="K56">
        <v>72</v>
      </c>
      <c r="L56">
        <v>5000</v>
      </c>
      <c r="M56" t="s">
        <v>17</v>
      </c>
      <c r="N56" t="str">
        <f t="shared" si="0"/>
        <v>Young Adult</v>
      </c>
      <c r="O56" t="str">
        <f t="shared" si="1"/>
        <v>Okay Sleep</v>
      </c>
      <c r="P56" t="str">
        <f t="shared" si="2"/>
        <v>Low</v>
      </c>
      <c r="Q56" t="str">
        <f t="shared" si="3"/>
        <v>High</v>
      </c>
      <c r="R56" t="str">
        <f t="shared" si="4"/>
        <v>Elevated</v>
      </c>
      <c r="S56" t="str">
        <f t="shared" si="5"/>
        <v>Average</v>
      </c>
      <c r="T56" t="str">
        <f t="shared" si="6"/>
        <v>Low Active</v>
      </c>
    </row>
    <row r="57" spans="1:20" x14ac:dyDescent="0.25">
      <c r="A57">
        <v>56</v>
      </c>
      <c r="B57" t="s">
        <v>13</v>
      </c>
      <c r="C57">
        <v>32</v>
      </c>
      <c r="D57" t="s">
        <v>18</v>
      </c>
      <c r="E57">
        <v>6</v>
      </c>
      <c r="F57">
        <v>6</v>
      </c>
      <c r="G57">
        <v>30</v>
      </c>
      <c r="H57">
        <v>8</v>
      </c>
      <c r="I57" t="s">
        <v>19</v>
      </c>
      <c r="J57" t="s">
        <v>20</v>
      </c>
      <c r="K57">
        <v>72</v>
      </c>
      <c r="L57">
        <v>5000</v>
      </c>
      <c r="M57" t="s">
        <v>17</v>
      </c>
      <c r="N57" t="str">
        <f t="shared" si="0"/>
        <v>Young Adult</v>
      </c>
      <c r="O57" t="str">
        <f t="shared" si="1"/>
        <v>Okay Sleep</v>
      </c>
      <c r="P57" t="str">
        <f t="shared" si="2"/>
        <v>Low</v>
      </c>
      <c r="Q57" t="str">
        <f t="shared" si="3"/>
        <v>High</v>
      </c>
      <c r="R57" t="str">
        <f t="shared" si="4"/>
        <v>Elevated</v>
      </c>
      <c r="S57" t="str">
        <f t="shared" si="5"/>
        <v>Average</v>
      </c>
      <c r="T57" t="str">
        <f t="shared" si="6"/>
        <v>Low Active</v>
      </c>
    </row>
    <row r="58" spans="1:20" x14ac:dyDescent="0.25">
      <c r="A58">
        <v>57</v>
      </c>
      <c r="B58" t="s">
        <v>13</v>
      </c>
      <c r="C58">
        <v>32</v>
      </c>
      <c r="D58" t="s">
        <v>18</v>
      </c>
      <c r="E58">
        <v>7.7</v>
      </c>
      <c r="F58">
        <v>7</v>
      </c>
      <c r="G58">
        <v>75</v>
      </c>
      <c r="H58">
        <v>6</v>
      </c>
      <c r="I58" t="s">
        <v>19</v>
      </c>
      <c r="J58" t="s">
        <v>27</v>
      </c>
      <c r="K58">
        <v>70</v>
      </c>
      <c r="L58">
        <v>8000</v>
      </c>
      <c r="M58" t="s">
        <v>17</v>
      </c>
      <c r="N58" t="str">
        <f t="shared" si="0"/>
        <v>Young Adult</v>
      </c>
      <c r="O58" t="str">
        <f t="shared" si="1"/>
        <v>Good Sleep</v>
      </c>
      <c r="P58" t="str">
        <f t="shared" si="2"/>
        <v>High</v>
      </c>
      <c r="Q58" t="str">
        <f t="shared" si="3"/>
        <v>Mid</v>
      </c>
      <c r="R58" t="str">
        <f t="shared" si="4"/>
        <v>Elevated</v>
      </c>
      <c r="S58" t="str">
        <f t="shared" si="5"/>
        <v>Average</v>
      </c>
      <c r="T58" t="str">
        <f t="shared" si="6"/>
        <v>Highly Active</v>
      </c>
    </row>
    <row r="59" spans="1:20" x14ac:dyDescent="0.25">
      <c r="A59">
        <v>58</v>
      </c>
      <c r="B59" t="s">
        <v>13</v>
      </c>
      <c r="C59">
        <v>32</v>
      </c>
      <c r="D59" t="s">
        <v>18</v>
      </c>
      <c r="E59">
        <v>6</v>
      </c>
      <c r="F59">
        <v>6</v>
      </c>
      <c r="G59">
        <v>30</v>
      </c>
      <c r="H59">
        <v>8</v>
      </c>
      <c r="I59" t="s">
        <v>19</v>
      </c>
      <c r="J59" t="s">
        <v>20</v>
      </c>
      <c r="K59">
        <v>72</v>
      </c>
      <c r="L59">
        <v>5000</v>
      </c>
      <c r="M59" t="s">
        <v>17</v>
      </c>
      <c r="N59" t="str">
        <f t="shared" si="0"/>
        <v>Young Adult</v>
      </c>
      <c r="O59" t="str">
        <f t="shared" si="1"/>
        <v>Okay Sleep</v>
      </c>
      <c r="P59" t="str">
        <f t="shared" si="2"/>
        <v>Low</v>
      </c>
      <c r="Q59" t="str">
        <f t="shared" si="3"/>
        <v>High</v>
      </c>
      <c r="R59" t="str">
        <f t="shared" si="4"/>
        <v>Elevated</v>
      </c>
      <c r="S59" t="str">
        <f t="shared" si="5"/>
        <v>Average</v>
      </c>
      <c r="T59" t="str">
        <f t="shared" si="6"/>
        <v>Low Active</v>
      </c>
    </row>
    <row r="60" spans="1:20" x14ac:dyDescent="0.25">
      <c r="A60">
        <v>59</v>
      </c>
      <c r="B60" t="s">
        <v>13</v>
      </c>
      <c r="C60">
        <v>32</v>
      </c>
      <c r="D60" t="s">
        <v>18</v>
      </c>
      <c r="E60">
        <v>6</v>
      </c>
      <c r="F60">
        <v>6</v>
      </c>
      <c r="G60">
        <v>30</v>
      </c>
      <c r="H60">
        <v>8</v>
      </c>
      <c r="I60" t="s">
        <v>19</v>
      </c>
      <c r="J60" t="s">
        <v>20</v>
      </c>
      <c r="K60">
        <v>72</v>
      </c>
      <c r="L60">
        <v>5000</v>
      </c>
      <c r="M60" t="s">
        <v>17</v>
      </c>
      <c r="N60" t="str">
        <f t="shared" si="0"/>
        <v>Young Adult</v>
      </c>
      <c r="O60" t="str">
        <f t="shared" si="1"/>
        <v>Okay Sleep</v>
      </c>
      <c r="P60" t="str">
        <f t="shared" si="2"/>
        <v>Low</v>
      </c>
      <c r="Q60" t="str">
        <f t="shared" si="3"/>
        <v>High</v>
      </c>
      <c r="R60" t="str">
        <f t="shared" si="4"/>
        <v>Elevated</v>
      </c>
      <c r="S60" t="str">
        <f t="shared" si="5"/>
        <v>Average</v>
      </c>
      <c r="T60" t="str">
        <f t="shared" si="6"/>
        <v>Low Active</v>
      </c>
    </row>
    <row r="61" spans="1:20" x14ac:dyDescent="0.25">
      <c r="A61">
        <v>60</v>
      </c>
      <c r="B61" t="s">
        <v>13</v>
      </c>
      <c r="C61">
        <v>32</v>
      </c>
      <c r="D61" t="s">
        <v>18</v>
      </c>
      <c r="E61">
        <v>7.7</v>
      </c>
      <c r="F61">
        <v>7</v>
      </c>
      <c r="G61">
        <v>75</v>
      </c>
      <c r="H61">
        <v>6</v>
      </c>
      <c r="I61" t="s">
        <v>19</v>
      </c>
      <c r="J61" t="s">
        <v>27</v>
      </c>
      <c r="K61">
        <v>70</v>
      </c>
      <c r="L61">
        <v>8000</v>
      </c>
      <c r="M61" t="s">
        <v>17</v>
      </c>
      <c r="N61" t="str">
        <f t="shared" si="0"/>
        <v>Young Adult</v>
      </c>
      <c r="O61" t="str">
        <f t="shared" si="1"/>
        <v>Good Sleep</v>
      </c>
      <c r="P61" t="str">
        <f t="shared" si="2"/>
        <v>High</v>
      </c>
      <c r="Q61" t="str">
        <f t="shared" si="3"/>
        <v>Mid</v>
      </c>
      <c r="R61" t="str">
        <f t="shared" si="4"/>
        <v>Elevated</v>
      </c>
      <c r="S61" t="str">
        <f t="shared" si="5"/>
        <v>Average</v>
      </c>
      <c r="T61" t="str">
        <f t="shared" si="6"/>
        <v>Highly Active</v>
      </c>
    </row>
    <row r="62" spans="1:20" x14ac:dyDescent="0.25">
      <c r="A62">
        <v>61</v>
      </c>
      <c r="B62" t="s">
        <v>13</v>
      </c>
      <c r="C62">
        <v>32</v>
      </c>
      <c r="D62" t="s">
        <v>18</v>
      </c>
      <c r="E62">
        <v>6</v>
      </c>
      <c r="F62">
        <v>6</v>
      </c>
      <c r="G62">
        <v>30</v>
      </c>
      <c r="H62">
        <v>8</v>
      </c>
      <c r="I62" t="s">
        <v>19</v>
      </c>
      <c r="J62" t="s">
        <v>20</v>
      </c>
      <c r="K62">
        <v>72</v>
      </c>
      <c r="L62">
        <v>5000</v>
      </c>
      <c r="M62" t="s">
        <v>17</v>
      </c>
      <c r="N62" t="str">
        <f t="shared" si="0"/>
        <v>Young Adult</v>
      </c>
      <c r="O62" t="str">
        <f t="shared" si="1"/>
        <v>Okay Sleep</v>
      </c>
      <c r="P62" t="str">
        <f t="shared" si="2"/>
        <v>Low</v>
      </c>
      <c r="Q62" t="str">
        <f t="shared" si="3"/>
        <v>High</v>
      </c>
      <c r="R62" t="str">
        <f t="shared" si="4"/>
        <v>Elevated</v>
      </c>
      <c r="S62" t="str">
        <f t="shared" si="5"/>
        <v>Average</v>
      </c>
      <c r="T62" t="str">
        <f t="shared" si="6"/>
        <v>Low Active</v>
      </c>
    </row>
    <row r="63" spans="1:20" x14ac:dyDescent="0.25">
      <c r="A63">
        <v>62</v>
      </c>
      <c r="B63" t="s">
        <v>13</v>
      </c>
      <c r="C63">
        <v>32</v>
      </c>
      <c r="D63" t="s">
        <v>18</v>
      </c>
      <c r="E63">
        <v>6</v>
      </c>
      <c r="F63">
        <v>6</v>
      </c>
      <c r="G63">
        <v>30</v>
      </c>
      <c r="H63">
        <v>8</v>
      </c>
      <c r="I63" t="s">
        <v>19</v>
      </c>
      <c r="J63" t="s">
        <v>20</v>
      </c>
      <c r="K63">
        <v>72</v>
      </c>
      <c r="L63">
        <v>5000</v>
      </c>
      <c r="M63" t="s">
        <v>17</v>
      </c>
      <c r="N63" t="str">
        <f t="shared" si="0"/>
        <v>Young Adult</v>
      </c>
      <c r="O63" t="str">
        <f t="shared" si="1"/>
        <v>Okay Sleep</v>
      </c>
      <c r="P63" t="str">
        <f t="shared" si="2"/>
        <v>Low</v>
      </c>
      <c r="Q63" t="str">
        <f t="shared" si="3"/>
        <v>High</v>
      </c>
      <c r="R63" t="str">
        <f t="shared" si="4"/>
        <v>Elevated</v>
      </c>
      <c r="S63" t="str">
        <f t="shared" si="5"/>
        <v>Average</v>
      </c>
      <c r="T63" t="str">
        <f t="shared" si="6"/>
        <v>Low Active</v>
      </c>
    </row>
    <row r="64" spans="1:20" x14ac:dyDescent="0.25">
      <c r="A64">
        <v>63</v>
      </c>
      <c r="B64" t="s">
        <v>13</v>
      </c>
      <c r="C64">
        <v>32</v>
      </c>
      <c r="D64" t="s">
        <v>18</v>
      </c>
      <c r="E64">
        <v>6.2</v>
      </c>
      <c r="F64">
        <v>6</v>
      </c>
      <c r="G64">
        <v>30</v>
      </c>
      <c r="H64">
        <v>8</v>
      </c>
      <c r="I64" t="s">
        <v>19</v>
      </c>
      <c r="J64" t="s">
        <v>20</v>
      </c>
      <c r="K64">
        <v>72</v>
      </c>
      <c r="L64">
        <v>5000</v>
      </c>
      <c r="M64" t="s">
        <v>17</v>
      </c>
      <c r="N64" t="str">
        <f t="shared" si="0"/>
        <v>Young Adult</v>
      </c>
      <c r="O64" t="str">
        <f t="shared" si="1"/>
        <v>Okay Sleep</v>
      </c>
      <c r="P64" t="str">
        <f t="shared" si="2"/>
        <v>Low</v>
      </c>
      <c r="Q64" t="str">
        <f t="shared" si="3"/>
        <v>High</v>
      </c>
      <c r="R64" t="str">
        <f t="shared" si="4"/>
        <v>Elevated</v>
      </c>
      <c r="S64" t="str">
        <f t="shared" si="5"/>
        <v>Average</v>
      </c>
      <c r="T64" t="str">
        <f t="shared" si="6"/>
        <v>Low Active</v>
      </c>
    </row>
    <row r="65" spans="1:20" x14ac:dyDescent="0.25">
      <c r="A65">
        <v>64</v>
      </c>
      <c r="B65" t="s">
        <v>13</v>
      </c>
      <c r="C65">
        <v>32</v>
      </c>
      <c r="D65" t="s">
        <v>18</v>
      </c>
      <c r="E65">
        <v>6.2</v>
      </c>
      <c r="F65">
        <v>6</v>
      </c>
      <c r="G65">
        <v>30</v>
      </c>
      <c r="H65">
        <v>8</v>
      </c>
      <c r="I65" t="s">
        <v>19</v>
      </c>
      <c r="J65" t="s">
        <v>20</v>
      </c>
      <c r="K65">
        <v>72</v>
      </c>
      <c r="L65">
        <v>5000</v>
      </c>
      <c r="M65" t="s">
        <v>17</v>
      </c>
      <c r="N65" t="str">
        <f t="shared" si="0"/>
        <v>Young Adult</v>
      </c>
      <c r="O65" t="str">
        <f t="shared" si="1"/>
        <v>Okay Sleep</v>
      </c>
      <c r="P65" t="str">
        <f t="shared" si="2"/>
        <v>Low</v>
      </c>
      <c r="Q65" t="str">
        <f t="shared" si="3"/>
        <v>High</v>
      </c>
      <c r="R65" t="str">
        <f t="shared" si="4"/>
        <v>Elevated</v>
      </c>
      <c r="S65" t="str">
        <f t="shared" si="5"/>
        <v>Average</v>
      </c>
      <c r="T65" t="str">
        <f t="shared" si="6"/>
        <v>Low Active</v>
      </c>
    </row>
    <row r="66" spans="1:20" x14ac:dyDescent="0.25">
      <c r="A66">
        <v>65</v>
      </c>
      <c r="B66" t="s">
        <v>13</v>
      </c>
      <c r="C66">
        <v>32</v>
      </c>
      <c r="D66" t="s">
        <v>18</v>
      </c>
      <c r="E66">
        <v>6.2</v>
      </c>
      <c r="F66">
        <v>6</v>
      </c>
      <c r="G66">
        <v>30</v>
      </c>
      <c r="H66">
        <v>8</v>
      </c>
      <c r="I66" t="s">
        <v>19</v>
      </c>
      <c r="J66" t="s">
        <v>20</v>
      </c>
      <c r="K66">
        <v>72</v>
      </c>
      <c r="L66">
        <v>5000</v>
      </c>
      <c r="M66" t="s">
        <v>17</v>
      </c>
      <c r="N66" t="str">
        <f t="shared" si="0"/>
        <v>Young Adult</v>
      </c>
      <c r="O66" t="str">
        <f t="shared" si="1"/>
        <v>Okay Sleep</v>
      </c>
      <c r="P66" t="str">
        <f t="shared" si="2"/>
        <v>Low</v>
      </c>
      <c r="Q66" t="str">
        <f t="shared" si="3"/>
        <v>High</v>
      </c>
      <c r="R66" t="str">
        <f t="shared" si="4"/>
        <v>Elevated</v>
      </c>
      <c r="S66" t="str">
        <f t="shared" si="5"/>
        <v>Average</v>
      </c>
      <c r="T66" t="str">
        <f t="shared" si="6"/>
        <v>Low Active</v>
      </c>
    </row>
    <row r="67" spans="1:20" x14ac:dyDescent="0.25">
      <c r="A67">
        <v>66</v>
      </c>
      <c r="B67" t="s">
        <v>13</v>
      </c>
      <c r="C67">
        <v>32</v>
      </c>
      <c r="D67" t="s">
        <v>18</v>
      </c>
      <c r="E67">
        <v>6.2</v>
      </c>
      <c r="F67">
        <v>6</v>
      </c>
      <c r="G67">
        <v>30</v>
      </c>
      <c r="H67">
        <v>8</v>
      </c>
      <c r="I67" t="s">
        <v>19</v>
      </c>
      <c r="J67" t="s">
        <v>20</v>
      </c>
      <c r="K67">
        <v>72</v>
      </c>
      <c r="L67">
        <v>5000</v>
      </c>
      <c r="M67" t="s">
        <v>17</v>
      </c>
      <c r="N67" t="str">
        <f t="shared" ref="N67:N130" si="7">_xlfn.IFS(C67&gt;=50, "Old", C67&gt;=35, "Adult",C67&gt;=27, "Young Adult")</f>
        <v>Young Adult</v>
      </c>
      <c r="O67" t="str">
        <f t="shared" ref="O67:O130" si="8">_xlfn.IFS(F67&gt;=8, "Well Rested", F67&gt;=7, "Good Sleep", F67&gt;=6, "Okay Sleep",F67&lt;6, "Need more sleep")</f>
        <v>Okay Sleep</v>
      </c>
      <c r="P67" t="str">
        <f t="shared" ref="P67:P130" si="9">_xlfn.IFS(G67&gt;=80, "Very High", G67&gt;=65, "High",G67&gt;=50, "Moderate", G67&gt;=40, "Not Good Enough", G67&lt;40,"Low")</f>
        <v>Low</v>
      </c>
      <c r="Q67" t="str">
        <f t="shared" ref="Q67:Q130" si="10">_xlfn.IFS(H67&gt;=7, "High", H67&gt;=5, "Mid", H67&lt;5, "Low")</f>
        <v>High</v>
      </c>
      <c r="R67" t="str">
        <f t="shared" ref="R67:R130" si="11">_xlfn.IFS(J67&gt;="140/90", "HP Stage 2", J67&gt;="130/85","HP Stage 1",J67&gt;="120/80","Elevated",J67&lt;"120/80","Normal")</f>
        <v>Elevated</v>
      </c>
      <c r="S67" t="str">
        <f t="shared" ref="S67:S130" si="12">_xlfn.IFS(K67&gt;=80, "Poor", K67&gt;=75, "Below Average", K67&gt;=70, "Average",K67&lt;70,"Good")</f>
        <v>Average</v>
      </c>
      <c r="T67" t="str">
        <f t="shared" ref="T67:T130" si="13">_xlfn.IFS(L67&gt;=8000,"Highly Active", L67&gt;=6000, "Active", L67&gt;=4000, "Low Active",L67&lt;4000, "Sedentary")</f>
        <v>Low Active</v>
      </c>
    </row>
    <row r="68" spans="1:20" x14ac:dyDescent="0.25">
      <c r="A68">
        <v>67</v>
      </c>
      <c r="B68" t="s">
        <v>13</v>
      </c>
      <c r="C68">
        <v>32</v>
      </c>
      <c r="D68" t="s">
        <v>35</v>
      </c>
      <c r="E68">
        <v>7.2</v>
      </c>
      <c r="F68">
        <v>8</v>
      </c>
      <c r="G68">
        <v>50</v>
      </c>
      <c r="H68">
        <v>6</v>
      </c>
      <c r="I68" t="s">
        <v>30</v>
      </c>
      <c r="J68" t="s">
        <v>36</v>
      </c>
      <c r="K68">
        <v>68</v>
      </c>
      <c r="L68">
        <v>7000</v>
      </c>
      <c r="M68" t="s">
        <v>17</v>
      </c>
      <c r="N68" t="str">
        <f t="shared" si="7"/>
        <v>Young Adult</v>
      </c>
      <c r="O68" t="str">
        <f t="shared" si="8"/>
        <v>Well Rested</v>
      </c>
      <c r="P68" t="str">
        <f t="shared" si="9"/>
        <v>Moderate</v>
      </c>
      <c r="Q68" t="str">
        <f t="shared" si="10"/>
        <v>Mid</v>
      </c>
      <c r="R68" t="str">
        <f t="shared" si="11"/>
        <v>Normal</v>
      </c>
      <c r="S68" t="str">
        <f t="shared" si="12"/>
        <v>Good</v>
      </c>
      <c r="T68" t="str">
        <f t="shared" si="13"/>
        <v>Active</v>
      </c>
    </row>
    <row r="69" spans="1:20" x14ac:dyDescent="0.25">
      <c r="A69">
        <v>68</v>
      </c>
      <c r="B69" t="s">
        <v>13</v>
      </c>
      <c r="C69">
        <v>33</v>
      </c>
      <c r="D69" t="s">
        <v>18</v>
      </c>
      <c r="E69">
        <v>6</v>
      </c>
      <c r="F69">
        <v>6</v>
      </c>
      <c r="G69">
        <v>30</v>
      </c>
      <c r="H69">
        <v>8</v>
      </c>
      <c r="I69" t="s">
        <v>19</v>
      </c>
      <c r="J69" t="s">
        <v>20</v>
      </c>
      <c r="K69">
        <v>72</v>
      </c>
      <c r="L69">
        <v>5000</v>
      </c>
      <c r="M69" t="s">
        <v>25</v>
      </c>
      <c r="N69" t="str">
        <f t="shared" si="7"/>
        <v>Young Adult</v>
      </c>
      <c r="O69" t="str">
        <f t="shared" si="8"/>
        <v>Okay Sleep</v>
      </c>
      <c r="P69" t="str">
        <f t="shared" si="9"/>
        <v>Low</v>
      </c>
      <c r="Q69" t="str">
        <f t="shared" si="10"/>
        <v>High</v>
      </c>
      <c r="R69" t="str">
        <f t="shared" si="11"/>
        <v>Elevated</v>
      </c>
      <c r="S69" t="str">
        <f t="shared" si="12"/>
        <v>Average</v>
      </c>
      <c r="T69" t="str">
        <f t="shared" si="13"/>
        <v>Low Active</v>
      </c>
    </row>
    <row r="70" spans="1:20" x14ac:dyDescent="0.25">
      <c r="A70">
        <v>69</v>
      </c>
      <c r="B70" t="s">
        <v>28</v>
      </c>
      <c r="C70">
        <v>33</v>
      </c>
      <c r="D70" t="s">
        <v>37</v>
      </c>
      <c r="E70">
        <v>6.2</v>
      </c>
      <c r="F70">
        <v>6</v>
      </c>
      <c r="G70">
        <v>50</v>
      </c>
      <c r="H70">
        <v>6</v>
      </c>
      <c r="I70" t="s">
        <v>15</v>
      </c>
      <c r="J70" t="s">
        <v>38</v>
      </c>
      <c r="K70">
        <v>76</v>
      </c>
      <c r="L70">
        <v>5500</v>
      </c>
      <c r="M70" t="s">
        <v>17</v>
      </c>
      <c r="N70" t="str">
        <f t="shared" si="7"/>
        <v>Young Adult</v>
      </c>
      <c r="O70" t="str">
        <f t="shared" si="8"/>
        <v>Okay Sleep</v>
      </c>
      <c r="P70" t="str">
        <f t="shared" si="9"/>
        <v>Moderate</v>
      </c>
      <c r="Q70" t="str">
        <f t="shared" si="10"/>
        <v>Mid</v>
      </c>
      <c r="R70" t="str">
        <f t="shared" si="11"/>
        <v>Elevated</v>
      </c>
      <c r="S70" t="str">
        <f t="shared" si="12"/>
        <v>Below Average</v>
      </c>
      <c r="T70" t="str">
        <f t="shared" si="13"/>
        <v>Low Active</v>
      </c>
    </row>
    <row r="71" spans="1:20" x14ac:dyDescent="0.25">
      <c r="A71">
        <v>70</v>
      </c>
      <c r="B71" t="s">
        <v>28</v>
      </c>
      <c r="C71">
        <v>33</v>
      </c>
      <c r="D71" t="s">
        <v>37</v>
      </c>
      <c r="E71">
        <v>6.2</v>
      </c>
      <c r="F71">
        <v>6</v>
      </c>
      <c r="G71">
        <v>50</v>
      </c>
      <c r="H71">
        <v>6</v>
      </c>
      <c r="I71" t="s">
        <v>15</v>
      </c>
      <c r="J71" t="s">
        <v>38</v>
      </c>
      <c r="K71">
        <v>76</v>
      </c>
      <c r="L71">
        <v>5500</v>
      </c>
      <c r="M71" t="s">
        <v>17</v>
      </c>
      <c r="N71" t="str">
        <f t="shared" si="7"/>
        <v>Young Adult</v>
      </c>
      <c r="O71" t="str">
        <f t="shared" si="8"/>
        <v>Okay Sleep</v>
      </c>
      <c r="P71" t="str">
        <f t="shared" si="9"/>
        <v>Moderate</v>
      </c>
      <c r="Q71" t="str">
        <f t="shared" si="10"/>
        <v>Mid</v>
      </c>
      <c r="R71" t="str">
        <f t="shared" si="11"/>
        <v>Elevated</v>
      </c>
      <c r="S71" t="str">
        <f t="shared" si="12"/>
        <v>Below Average</v>
      </c>
      <c r="T71" t="str">
        <f t="shared" si="13"/>
        <v>Low Active</v>
      </c>
    </row>
    <row r="72" spans="1:20" x14ac:dyDescent="0.25">
      <c r="A72">
        <v>71</v>
      </c>
      <c r="B72" t="s">
        <v>13</v>
      </c>
      <c r="C72">
        <v>33</v>
      </c>
      <c r="D72" t="s">
        <v>18</v>
      </c>
      <c r="E72">
        <v>6.1</v>
      </c>
      <c r="F72">
        <v>6</v>
      </c>
      <c r="G72">
        <v>30</v>
      </c>
      <c r="H72">
        <v>8</v>
      </c>
      <c r="I72" t="s">
        <v>19</v>
      </c>
      <c r="J72" t="s">
        <v>20</v>
      </c>
      <c r="K72">
        <v>72</v>
      </c>
      <c r="L72">
        <v>5000</v>
      </c>
      <c r="M72" t="s">
        <v>17</v>
      </c>
      <c r="N72" t="str">
        <f t="shared" si="7"/>
        <v>Young Adult</v>
      </c>
      <c r="O72" t="str">
        <f t="shared" si="8"/>
        <v>Okay Sleep</v>
      </c>
      <c r="P72" t="str">
        <f t="shared" si="9"/>
        <v>Low</v>
      </c>
      <c r="Q72" t="str">
        <f t="shared" si="10"/>
        <v>High</v>
      </c>
      <c r="R72" t="str">
        <f t="shared" si="11"/>
        <v>Elevated</v>
      </c>
      <c r="S72" t="str">
        <f t="shared" si="12"/>
        <v>Average</v>
      </c>
      <c r="T72" t="str">
        <f t="shared" si="13"/>
        <v>Low Active</v>
      </c>
    </row>
    <row r="73" spans="1:20" x14ac:dyDescent="0.25">
      <c r="A73">
        <v>72</v>
      </c>
      <c r="B73" t="s">
        <v>13</v>
      </c>
      <c r="C73">
        <v>33</v>
      </c>
      <c r="D73" t="s">
        <v>18</v>
      </c>
      <c r="E73">
        <v>6.1</v>
      </c>
      <c r="F73">
        <v>6</v>
      </c>
      <c r="G73">
        <v>30</v>
      </c>
      <c r="H73">
        <v>8</v>
      </c>
      <c r="I73" t="s">
        <v>19</v>
      </c>
      <c r="J73" t="s">
        <v>20</v>
      </c>
      <c r="K73">
        <v>72</v>
      </c>
      <c r="L73">
        <v>5000</v>
      </c>
      <c r="M73" t="s">
        <v>17</v>
      </c>
      <c r="N73" t="str">
        <f t="shared" si="7"/>
        <v>Young Adult</v>
      </c>
      <c r="O73" t="str">
        <f t="shared" si="8"/>
        <v>Okay Sleep</v>
      </c>
      <c r="P73" t="str">
        <f t="shared" si="9"/>
        <v>Low</v>
      </c>
      <c r="Q73" t="str">
        <f t="shared" si="10"/>
        <v>High</v>
      </c>
      <c r="R73" t="str">
        <f t="shared" si="11"/>
        <v>Elevated</v>
      </c>
      <c r="S73" t="str">
        <f t="shared" si="12"/>
        <v>Average</v>
      </c>
      <c r="T73" t="str">
        <f t="shared" si="13"/>
        <v>Low Active</v>
      </c>
    </row>
    <row r="74" spans="1:20" x14ac:dyDescent="0.25">
      <c r="A74">
        <v>73</v>
      </c>
      <c r="B74" t="s">
        <v>13</v>
      </c>
      <c r="C74">
        <v>33</v>
      </c>
      <c r="D74" t="s">
        <v>18</v>
      </c>
      <c r="E74">
        <v>6.1</v>
      </c>
      <c r="F74">
        <v>6</v>
      </c>
      <c r="G74">
        <v>30</v>
      </c>
      <c r="H74">
        <v>8</v>
      </c>
      <c r="I74" t="s">
        <v>19</v>
      </c>
      <c r="J74" t="s">
        <v>20</v>
      </c>
      <c r="K74">
        <v>72</v>
      </c>
      <c r="L74">
        <v>5000</v>
      </c>
      <c r="M74" t="s">
        <v>17</v>
      </c>
      <c r="N74" t="str">
        <f t="shared" si="7"/>
        <v>Young Adult</v>
      </c>
      <c r="O74" t="str">
        <f t="shared" si="8"/>
        <v>Okay Sleep</v>
      </c>
      <c r="P74" t="str">
        <f t="shared" si="9"/>
        <v>Low</v>
      </c>
      <c r="Q74" t="str">
        <f t="shared" si="10"/>
        <v>High</v>
      </c>
      <c r="R74" t="str">
        <f t="shared" si="11"/>
        <v>Elevated</v>
      </c>
      <c r="S74" t="str">
        <f t="shared" si="12"/>
        <v>Average</v>
      </c>
      <c r="T74" t="str">
        <f t="shared" si="13"/>
        <v>Low Active</v>
      </c>
    </row>
    <row r="75" spans="1:20" x14ac:dyDescent="0.25">
      <c r="A75">
        <v>74</v>
      </c>
      <c r="B75" t="s">
        <v>13</v>
      </c>
      <c r="C75">
        <v>33</v>
      </c>
      <c r="D75" t="s">
        <v>18</v>
      </c>
      <c r="E75">
        <v>6.1</v>
      </c>
      <c r="F75">
        <v>6</v>
      </c>
      <c r="G75">
        <v>30</v>
      </c>
      <c r="H75">
        <v>8</v>
      </c>
      <c r="I75" t="s">
        <v>19</v>
      </c>
      <c r="J75" t="s">
        <v>20</v>
      </c>
      <c r="K75">
        <v>72</v>
      </c>
      <c r="L75">
        <v>5000</v>
      </c>
      <c r="M75" t="s">
        <v>17</v>
      </c>
      <c r="N75" t="str">
        <f t="shared" si="7"/>
        <v>Young Adult</v>
      </c>
      <c r="O75" t="str">
        <f t="shared" si="8"/>
        <v>Okay Sleep</v>
      </c>
      <c r="P75" t="str">
        <f t="shared" si="9"/>
        <v>Low</v>
      </c>
      <c r="Q75" t="str">
        <f t="shared" si="10"/>
        <v>High</v>
      </c>
      <c r="R75" t="str">
        <f t="shared" si="11"/>
        <v>Elevated</v>
      </c>
      <c r="S75" t="str">
        <f t="shared" si="12"/>
        <v>Average</v>
      </c>
      <c r="T75" t="str">
        <f t="shared" si="13"/>
        <v>Low Active</v>
      </c>
    </row>
    <row r="76" spans="1:20" x14ac:dyDescent="0.25">
      <c r="A76">
        <v>75</v>
      </c>
      <c r="B76" t="s">
        <v>13</v>
      </c>
      <c r="C76">
        <v>33</v>
      </c>
      <c r="D76" t="s">
        <v>18</v>
      </c>
      <c r="E76">
        <v>6</v>
      </c>
      <c r="F76">
        <v>6</v>
      </c>
      <c r="G76">
        <v>30</v>
      </c>
      <c r="H76">
        <v>8</v>
      </c>
      <c r="I76" t="s">
        <v>19</v>
      </c>
      <c r="J76" t="s">
        <v>20</v>
      </c>
      <c r="K76">
        <v>72</v>
      </c>
      <c r="L76">
        <v>5000</v>
      </c>
      <c r="M76" t="s">
        <v>17</v>
      </c>
      <c r="N76" t="str">
        <f t="shared" si="7"/>
        <v>Young Adult</v>
      </c>
      <c r="O76" t="str">
        <f t="shared" si="8"/>
        <v>Okay Sleep</v>
      </c>
      <c r="P76" t="str">
        <f t="shared" si="9"/>
        <v>Low</v>
      </c>
      <c r="Q76" t="str">
        <f t="shared" si="10"/>
        <v>High</v>
      </c>
      <c r="R76" t="str">
        <f t="shared" si="11"/>
        <v>Elevated</v>
      </c>
      <c r="S76" t="str">
        <f t="shared" si="12"/>
        <v>Average</v>
      </c>
      <c r="T76" t="str">
        <f t="shared" si="13"/>
        <v>Low Active</v>
      </c>
    </row>
    <row r="77" spans="1:20" x14ac:dyDescent="0.25">
      <c r="A77">
        <v>76</v>
      </c>
      <c r="B77" t="s">
        <v>13</v>
      </c>
      <c r="C77">
        <v>33</v>
      </c>
      <c r="D77" t="s">
        <v>18</v>
      </c>
      <c r="E77">
        <v>6</v>
      </c>
      <c r="F77">
        <v>6</v>
      </c>
      <c r="G77">
        <v>30</v>
      </c>
      <c r="H77">
        <v>8</v>
      </c>
      <c r="I77" t="s">
        <v>19</v>
      </c>
      <c r="J77" t="s">
        <v>20</v>
      </c>
      <c r="K77">
        <v>72</v>
      </c>
      <c r="L77">
        <v>5000</v>
      </c>
      <c r="M77" t="s">
        <v>17</v>
      </c>
      <c r="N77" t="str">
        <f t="shared" si="7"/>
        <v>Young Adult</v>
      </c>
      <c r="O77" t="str">
        <f t="shared" si="8"/>
        <v>Okay Sleep</v>
      </c>
      <c r="P77" t="str">
        <f t="shared" si="9"/>
        <v>Low</v>
      </c>
      <c r="Q77" t="str">
        <f t="shared" si="10"/>
        <v>High</v>
      </c>
      <c r="R77" t="str">
        <f t="shared" si="11"/>
        <v>Elevated</v>
      </c>
      <c r="S77" t="str">
        <f t="shared" si="12"/>
        <v>Average</v>
      </c>
      <c r="T77" t="str">
        <f t="shared" si="13"/>
        <v>Low Active</v>
      </c>
    </row>
    <row r="78" spans="1:20" x14ac:dyDescent="0.25">
      <c r="A78">
        <v>77</v>
      </c>
      <c r="B78" t="s">
        <v>13</v>
      </c>
      <c r="C78">
        <v>33</v>
      </c>
      <c r="D78" t="s">
        <v>18</v>
      </c>
      <c r="E78">
        <v>6</v>
      </c>
      <c r="F78">
        <v>6</v>
      </c>
      <c r="G78">
        <v>30</v>
      </c>
      <c r="H78">
        <v>8</v>
      </c>
      <c r="I78" t="s">
        <v>19</v>
      </c>
      <c r="J78" t="s">
        <v>20</v>
      </c>
      <c r="K78">
        <v>72</v>
      </c>
      <c r="L78">
        <v>5000</v>
      </c>
      <c r="M78" t="s">
        <v>17</v>
      </c>
      <c r="N78" t="str">
        <f t="shared" si="7"/>
        <v>Young Adult</v>
      </c>
      <c r="O78" t="str">
        <f t="shared" si="8"/>
        <v>Okay Sleep</v>
      </c>
      <c r="P78" t="str">
        <f t="shared" si="9"/>
        <v>Low</v>
      </c>
      <c r="Q78" t="str">
        <f t="shared" si="10"/>
        <v>High</v>
      </c>
      <c r="R78" t="str">
        <f t="shared" si="11"/>
        <v>Elevated</v>
      </c>
      <c r="S78" t="str">
        <f t="shared" si="12"/>
        <v>Average</v>
      </c>
      <c r="T78" t="str">
        <f t="shared" si="13"/>
        <v>Low Active</v>
      </c>
    </row>
    <row r="79" spans="1:20" x14ac:dyDescent="0.25">
      <c r="A79">
        <v>78</v>
      </c>
      <c r="B79" t="s">
        <v>13</v>
      </c>
      <c r="C79">
        <v>33</v>
      </c>
      <c r="D79" t="s">
        <v>18</v>
      </c>
      <c r="E79">
        <v>6</v>
      </c>
      <c r="F79">
        <v>6</v>
      </c>
      <c r="G79">
        <v>30</v>
      </c>
      <c r="H79">
        <v>8</v>
      </c>
      <c r="I79" t="s">
        <v>19</v>
      </c>
      <c r="J79" t="s">
        <v>20</v>
      </c>
      <c r="K79">
        <v>72</v>
      </c>
      <c r="L79">
        <v>5000</v>
      </c>
      <c r="M79" t="s">
        <v>17</v>
      </c>
      <c r="N79" t="str">
        <f t="shared" si="7"/>
        <v>Young Adult</v>
      </c>
      <c r="O79" t="str">
        <f t="shared" si="8"/>
        <v>Okay Sleep</v>
      </c>
      <c r="P79" t="str">
        <f t="shared" si="9"/>
        <v>Low</v>
      </c>
      <c r="Q79" t="str">
        <f t="shared" si="10"/>
        <v>High</v>
      </c>
      <c r="R79" t="str">
        <f t="shared" si="11"/>
        <v>Elevated</v>
      </c>
      <c r="S79" t="str">
        <f t="shared" si="12"/>
        <v>Average</v>
      </c>
      <c r="T79" t="str">
        <f t="shared" si="13"/>
        <v>Low Active</v>
      </c>
    </row>
    <row r="80" spans="1:20" x14ac:dyDescent="0.25">
      <c r="A80">
        <v>79</v>
      </c>
      <c r="B80" t="s">
        <v>13</v>
      </c>
      <c r="C80">
        <v>33</v>
      </c>
      <c r="D80" t="s">
        <v>18</v>
      </c>
      <c r="E80">
        <v>6</v>
      </c>
      <c r="F80">
        <v>6</v>
      </c>
      <c r="G80">
        <v>30</v>
      </c>
      <c r="H80">
        <v>8</v>
      </c>
      <c r="I80" t="s">
        <v>19</v>
      </c>
      <c r="J80" t="s">
        <v>20</v>
      </c>
      <c r="K80">
        <v>72</v>
      </c>
      <c r="L80">
        <v>5000</v>
      </c>
      <c r="M80" t="s">
        <v>17</v>
      </c>
      <c r="N80" t="str">
        <f t="shared" si="7"/>
        <v>Young Adult</v>
      </c>
      <c r="O80" t="str">
        <f t="shared" si="8"/>
        <v>Okay Sleep</v>
      </c>
      <c r="P80" t="str">
        <f t="shared" si="9"/>
        <v>Low</v>
      </c>
      <c r="Q80" t="str">
        <f t="shared" si="10"/>
        <v>High</v>
      </c>
      <c r="R80" t="str">
        <f t="shared" si="11"/>
        <v>Elevated</v>
      </c>
      <c r="S80" t="str">
        <f t="shared" si="12"/>
        <v>Average</v>
      </c>
      <c r="T80" t="str">
        <f t="shared" si="13"/>
        <v>Low Active</v>
      </c>
    </row>
    <row r="81" spans="1:20" x14ac:dyDescent="0.25">
      <c r="A81">
        <v>80</v>
      </c>
      <c r="B81" t="s">
        <v>13</v>
      </c>
      <c r="C81">
        <v>33</v>
      </c>
      <c r="D81" t="s">
        <v>18</v>
      </c>
      <c r="E81">
        <v>6</v>
      </c>
      <c r="F81">
        <v>6</v>
      </c>
      <c r="G81">
        <v>30</v>
      </c>
      <c r="H81">
        <v>8</v>
      </c>
      <c r="I81" t="s">
        <v>19</v>
      </c>
      <c r="J81" t="s">
        <v>20</v>
      </c>
      <c r="K81">
        <v>72</v>
      </c>
      <c r="L81">
        <v>5000</v>
      </c>
      <c r="M81" t="s">
        <v>17</v>
      </c>
      <c r="N81" t="str">
        <f t="shared" si="7"/>
        <v>Young Adult</v>
      </c>
      <c r="O81" t="str">
        <f t="shared" si="8"/>
        <v>Okay Sleep</v>
      </c>
      <c r="P81" t="str">
        <f t="shared" si="9"/>
        <v>Low</v>
      </c>
      <c r="Q81" t="str">
        <f t="shared" si="10"/>
        <v>High</v>
      </c>
      <c r="R81" t="str">
        <f t="shared" si="11"/>
        <v>Elevated</v>
      </c>
      <c r="S81" t="str">
        <f t="shared" si="12"/>
        <v>Average</v>
      </c>
      <c r="T81" t="str">
        <f t="shared" si="13"/>
        <v>Low Active</v>
      </c>
    </row>
    <row r="82" spans="1:20" x14ac:dyDescent="0.25">
      <c r="A82">
        <v>81</v>
      </c>
      <c r="B82" t="s">
        <v>28</v>
      </c>
      <c r="C82">
        <v>34</v>
      </c>
      <c r="D82" t="s">
        <v>37</v>
      </c>
      <c r="E82">
        <v>5.8</v>
      </c>
      <c r="F82">
        <v>4</v>
      </c>
      <c r="G82">
        <v>32</v>
      </c>
      <c r="H82">
        <v>8</v>
      </c>
      <c r="I82" t="s">
        <v>15</v>
      </c>
      <c r="J82" t="s">
        <v>39</v>
      </c>
      <c r="K82">
        <v>81</v>
      </c>
      <c r="L82">
        <v>5200</v>
      </c>
      <c r="M82" t="s">
        <v>24</v>
      </c>
      <c r="N82" t="str">
        <f t="shared" si="7"/>
        <v>Young Adult</v>
      </c>
      <c r="O82" t="str">
        <f t="shared" si="8"/>
        <v>Need more sleep</v>
      </c>
      <c r="P82" t="str">
        <f t="shared" si="9"/>
        <v>Low</v>
      </c>
      <c r="Q82" t="str">
        <f t="shared" si="10"/>
        <v>High</v>
      </c>
      <c r="R82" t="str">
        <f t="shared" si="11"/>
        <v>HP Stage 1</v>
      </c>
      <c r="S82" t="str">
        <f t="shared" si="12"/>
        <v>Poor</v>
      </c>
      <c r="T82" t="str">
        <f t="shared" si="13"/>
        <v>Low Active</v>
      </c>
    </row>
    <row r="83" spans="1:20" x14ac:dyDescent="0.25">
      <c r="A83">
        <v>82</v>
      </c>
      <c r="B83" t="s">
        <v>28</v>
      </c>
      <c r="C83">
        <v>34</v>
      </c>
      <c r="D83" t="s">
        <v>37</v>
      </c>
      <c r="E83">
        <v>5.8</v>
      </c>
      <c r="F83">
        <v>4</v>
      </c>
      <c r="G83">
        <v>32</v>
      </c>
      <c r="H83">
        <v>8</v>
      </c>
      <c r="I83" t="s">
        <v>15</v>
      </c>
      <c r="J83" t="s">
        <v>39</v>
      </c>
      <c r="K83">
        <v>81</v>
      </c>
      <c r="L83">
        <v>5200</v>
      </c>
      <c r="M83" t="s">
        <v>24</v>
      </c>
      <c r="N83" t="str">
        <f t="shared" si="7"/>
        <v>Young Adult</v>
      </c>
      <c r="O83" t="str">
        <f t="shared" si="8"/>
        <v>Need more sleep</v>
      </c>
      <c r="P83" t="str">
        <f t="shared" si="9"/>
        <v>Low</v>
      </c>
      <c r="Q83" t="str">
        <f t="shared" si="10"/>
        <v>High</v>
      </c>
      <c r="R83" t="str">
        <f t="shared" si="11"/>
        <v>HP Stage 1</v>
      </c>
      <c r="S83" t="str">
        <f t="shared" si="12"/>
        <v>Poor</v>
      </c>
      <c r="T83" t="str">
        <f t="shared" si="13"/>
        <v>Low Active</v>
      </c>
    </row>
    <row r="84" spans="1:20" x14ac:dyDescent="0.25">
      <c r="A84">
        <v>83</v>
      </c>
      <c r="B84" t="s">
        <v>13</v>
      </c>
      <c r="C84">
        <v>35</v>
      </c>
      <c r="D84" t="s">
        <v>26</v>
      </c>
      <c r="E84">
        <v>6.7</v>
      </c>
      <c r="F84">
        <v>7</v>
      </c>
      <c r="G84">
        <v>40</v>
      </c>
      <c r="H84">
        <v>5</v>
      </c>
      <c r="I84" t="s">
        <v>15</v>
      </c>
      <c r="J84" t="s">
        <v>40</v>
      </c>
      <c r="K84">
        <v>70</v>
      </c>
      <c r="L84">
        <v>5600</v>
      </c>
      <c r="M84" t="s">
        <v>17</v>
      </c>
      <c r="N84" t="str">
        <f t="shared" si="7"/>
        <v>Adult</v>
      </c>
      <c r="O84" t="str">
        <f t="shared" si="8"/>
        <v>Good Sleep</v>
      </c>
      <c r="P84" t="str">
        <f t="shared" si="9"/>
        <v>Not Good Enough</v>
      </c>
      <c r="Q84" t="str">
        <f t="shared" si="10"/>
        <v>Mid</v>
      </c>
      <c r="R84" t="str">
        <f t="shared" si="11"/>
        <v>Elevated</v>
      </c>
      <c r="S84" t="str">
        <f t="shared" si="12"/>
        <v>Average</v>
      </c>
      <c r="T84" t="str">
        <f t="shared" si="13"/>
        <v>Low Active</v>
      </c>
    </row>
    <row r="85" spans="1:20" x14ac:dyDescent="0.25">
      <c r="A85">
        <v>84</v>
      </c>
      <c r="B85" t="s">
        <v>13</v>
      </c>
      <c r="C85">
        <v>35</v>
      </c>
      <c r="D85" t="s">
        <v>26</v>
      </c>
      <c r="E85">
        <v>6.7</v>
      </c>
      <c r="F85">
        <v>7</v>
      </c>
      <c r="G85">
        <v>40</v>
      </c>
      <c r="H85">
        <v>5</v>
      </c>
      <c r="I85" t="s">
        <v>15</v>
      </c>
      <c r="J85" t="s">
        <v>40</v>
      </c>
      <c r="K85">
        <v>70</v>
      </c>
      <c r="L85">
        <v>5600</v>
      </c>
      <c r="M85" t="s">
        <v>17</v>
      </c>
      <c r="N85" t="str">
        <f t="shared" si="7"/>
        <v>Adult</v>
      </c>
      <c r="O85" t="str">
        <f t="shared" si="8"/>
        <v>Good Sleep</v>
      </c>
      <c r="P85" t="str">
        <f t="shared" si="9"/>
        <v>Not Good Enough</v>
      </c>
      <c r="Q85" t="str">
        <f t="shared" si="10"/>
        <v>Mid</v>
      </c>
      <c r="R85" t="str">
        <f t="shared" si="11"/>
        <v>Elevated</v>
      </c>
      <c r="S85" t="str">
        <f t="shared" si="12"/>
        <v>Average</v>
      </c>
      <c r="T85" t="str">
        <f t="shared" si="13"/>
        <v>Low Active</v>
      </c>
    </row>
    <row r="86" spans="1:20" x14ac:dyDescent="0.25">
      <c r="A86">
        <v>85</v>
      </c>
      <c r="B86" t="s">
        <v>13</v>
      </c>
      <c r="C86">
        <v>35</v>
      </c>
      <c r="D86" t="s">
        <v>14</v>
      </c>
      <c r="E86">
        <v>7.5</v>
      </c>
      <c r="F86">
        <v>8</v>
      </c>
      <c r="G86">
        <v>60</v>
      </c>
      <c r="H86">
        <v>5</v>
      </c>
      <c r="I86" t="s">
        <v>30</v>
      </c>
      <c r="J86" t="s">
        <v>27</v>
      </c>
      <c r="K86">
        <v>70</v>
      </c>
      <c r="L86">
        <v>8000</v>
      </c>
      <c r="M86" t="s">
        <v>17</v>
      </c>
      <c r="N86" t="str">
        <f t="shared" si="7"/>
        <v>Adult</v>
      </c>
      <c r="O86" t="str">
        <f t="shared" si="8"/>
        <v>Well Rested</v>
      </c>
      <c r="P86" t="str">
        <f t="shared" si="9"/>
        <v>Moderate</v>
      </c>
      <c r="Q86" t="str">
        <f t="shared" si="10"/>
        <v>Mid</v>
      </c>
      <c r="R86" t="str">
        <f t="shared" si="11"/>
        <v>Elevated</v>
      </c>
      <c r="S86" t="str">
        <f t="shared" si="12"/>
        <v>Average</v>
      </c>
      <c r="T86" t="str">
        <f t="shared" si="13"/>
        <v>Highly Active</v>
      </c>
    </row>
    <row r="87" spans="1:20" x14ac:dyDescent="0.25">
      <c r="A87">
        <v>86</v>
      </c>
      <c r="B87" t="s">
        <v>28</v>
      </c>
      <c r="C87">
        <v>35</v>
      </c>
      <c r="D87" t="s">
        <v>35</v>
      </c>
      <c r="E87">
        <v>7.2</v>
      </c>
      <c r="F87">
        <v>8</v>
      </c>
      <c r="G87">
        <v>60</v>
      </c>
      <c r="H87">
        <v>4</v>
      </c>
      <c r="I87" t="s">
        <v>19</v>
      </c>
      <c r="J87" t="s">
        <v>41</v>
      </c>
      <c r="K87">
        <v>68</v>
      </c>
      <c r="L87">
        <v>7000</v>
      </c>
      <c r="M87" t="s">
        <v>17</v>
      </c>
      <c r="N87" t="str">
        <f t="shared" si="7"/>
        <v>Adult</v>
      </c>
      <c r="O87" t="str">
        <f t="shared" si="8"/>
        <v>Well Rested</v>
      </c>
      <c r="P87" t="str">
        <f t="shared" si="9"/>
        <v>Moderate</v>
      </c>
      <c r="Q87" t="str">
        <f t="shared" si="10"/>
        <v>Low</v>
      </c>
      <c r="R87" t="str">
        <f t="shared" si="11"/>
        <v>Normal</v>
      </c>
      <c r="S87" t="str">
        <f t="shared" si="12"/>
        <v>Good</v>
      </c>
      <c r="T87" t="str">
        <f t="shared" si="13"/>
        <v>Active</v>
      </c>
    </row>
    <row r="88" spans="1:20" x14ac:dyDescent="0.25">
      <c r="A88">
        <v>87</v>
      </c>
      <c r="B88" t="s">
        <v>13</v>
      </c>
      <c r="C88">
        <v>35</v>
      </c>
      <c r="D88" t="s">
        <v>34</v>
      </c>
      <c r="E88">
        <v>7.2</v>
      </c>
      <c r="F88">
        <v>8</v>
      </c>
      <c r="G88">
        <v>60</v>
      </c>
      <c r="H88">
        <v>4</v>
      </c>
      <c r="I88" t="s">
        <v>19</v>
      </c>
      <c r="J88" t="s">
        <v>20</v>
      </c>
      <c r="K88">
        <v>65</v>
      </c>
      <c r="L88">
        <v>5000</v>
      </c>
      <c r="M88" t="s">
        <v>17</v>
      </c>
      <c r="N88" t="str">
        <f t="shared" si="7"/>
        <v>Adult</v>
      </c>
      <c r="O88" t="str">
        <f t="shared" si="8"/>
        <v>Well Rested</v>
      </c>
      <c r="P88" t="str">
        <f t="shared" si="9"/>
        <v>Moderate</v>
      </c>
      <c r="Q88" t="str">
        <f t="shared" si="10"/>
        <v>Low</v>
      </c>
      <c r="R88" t="str">
        <f t="shared" si="11"/>
        <v>Elevated</v>
      </c>
      <c r="S88" t="str">
        <f t="shared" si="12"/>
        <v>Good</v>
      </c>
      <c r="T88" t="str">
        <f t="shared" si="13"/>
        <v>Low Active</v>
      </c>
    </row>
    <row r="89" spans="1:20" x14ac:dyDescent="0.25">
      <c r="A89">
        <v>88</v>
      </c>
      <c r="B89" t="s">
        <v>13</v>
      </c>
      <c r="C89">
        <v>35</v>
      </c>
      <c r="D89" t="s">
        <v>34</v>
      </c>
      <c r="E89">
        <v>7.2</v>
      </c>
      <c r="F89">
        <v>8</v>
      </c>
      <c r="G89">
        <v>60</v>
      </c>
      <c r="H89">
        <v>4</v>
      </c>
      <c r="I89" t="s">
        <v>19</v>
      </c>
      <c r="J89" t="s">
        <v>20</v>
      </c>
      <c r="K89">
        <v>65</v>
      </c>
      <c r="L89">
        <v>5000</v>
      </c>
      <c r="M89" t="s">
        <v>17</v>
      </c>
      <c r="N89" t="str">
        <f t="shared" si="7"/>
        <v>Adult</v>
      </c>
      <c r="O89" t="str">
        <f t="shared" si="8"/>
        <v>Well Rested</v>
      </c>
      <c r="P89" t="str">
        <f t="shared" si="9"/>
        <v>Moderate</v>
      </c>
      <c r="Q89" t="str">
        <f t="shared" si="10"/>
        <v>Low</v>
      </c>
      <c r="R89" t="str">
        <f t="shared" si="11"/>
        <v>Elevated</v>
      </c>
      <c r="S89" t="str">
        <f t="shared" si="12"/>
        <v>Good</v>
      </c>
      <c r="T89" t="str">
        <f t="shared" si="13"/>
        <v>Low Active</v>
      </c>
    </row>
    <row r="90" spans="1:20" x14ac:dyDescent="0.25">
      <c r="A90">
        <v>89</v>
      </c>
      <c r="B90" t="s">
        <v>13</v>
      </c>
      <c r="C90">
        <v>35</v>
      </c>
      <c r="D90" t="s">
        <v>34</v>
      </c>
      <c r="E90">
        <v>7.3</v>
      </c>
      <c r="F90">
        <v>8</v>
      </c>
      <c r="G90">
        <v>60</v>
      </c>
      <c r="H90">
        <v>4</v>
      </c>
      <c r="I90" t="s">
        <v>19</v>
      </c>
      <c r="J90" t="s">
        <v>20</v>
      </c>
      <c r="K90">
        <v>65</v>
      </c>
      <c r="L90">
        <v>5000</v>
      </c>
      <c r="M90" t="s">
        <v>17</v>
      </c>
      <c r="N90" t="str">
        <f t="shared" si="7"/>
        <v>Adult</v>
      </c>
      <c r="O90" t="str">
        <f t="shared" si="8"/>
        <v>Well Rested</v>
      </c>
      <c r="P90" t="str">
        <f t="shared" si="9"/>
        <v>Moderate</v>
      </c>
      <c r="Q90" t="str">
        <f t="shared" si="10"/>
        <v>Low</v>
      </c>
      <c r="R90" t="str">
        <f t="shared" si="11"/>
        <v>Elevated</v>
      </c>
      <c r="S90" t="str">
        <f t="shared" si="12"/>
        <v>Good</v>
      </c>
      <c r="T90" t="str">
        <f t="shared" si="13"/>
        <v>Low Active</v>
      </c>
    </row>
    <row r="91" spans="1:20" x14ac:dyDescent="0.25">
      <c r="A91">
        <v>90</v>
      </c>
      <c r="B91" t="s">
        <v>13</v>
      </c>
      <c r="C91">
        <v>35</v>
      </c>
      <c r="D91" t="s">
        <v>34</v>
      </c>
      <c r="E91">
        <v>7.3</v>
      </c>
      <c r="F91">
        <v>8</v>
      </c>
      <c r="G91">
        <v>60</v>
      </c>
      <c r="H91">
        <v>4</v>
      </c>
      <c r="I91" t="s">
        <v>19</v>
      </c>
      <c r="J91" t="s">
        <v>20</v>
      </c>
      <c r="K91">
        <v>65</v>
      </c>
      <c r="L91">
        <v>5000</v>
      </c>
      <c r="M91" t="s">
        <v>17</v>
      </c>
      <c r="N91" t="str">
        <f t="shared" si="7"/>
        <v>Adult</v>
      </c>
      <c r="O91" t="str">
        <f t="shared" si="8"/>
        <v>Well Rested</v>
      </c>
      <c r="P91" t="str">
        <f t="shared" si="9"/>
        <v>Moderate</v>
      </c>
      <c r="Q91" t="str">
        <f t="shared" si="10"/>
        <v>Low</v>
      </c>
      <c r="R91" t="str">
        <f t="shared" si="11"/>
        <v>Elevated</v>
      </c>
      <c r="S91" t="str">
        <f t="shared" si="12"/>
        <v>Good</v>
      </c>
      <c r="T91" t="str">
        <f t="shared" si="13"/>
        <v>Low Active</v>
      </c>
    </row>
    <row r="92" spans="1:20" x14ac:dyDescent="0.25">
      <c r="A92">
        <v>91</v>
      </c>
      <c r="B92" t="s">
        <v>13</v>
      </c>
      <c r="C92">
        <v>35</v>
      </c>
      <c r="D92" t="s">
        <v>34</v>
      </c>
      <c r="E92">
        <v>7.3</v>
      </c>
      <c r="F92">
        <v>8</v>
      </c>
      <c r="G92">
        <v>60</v>
      </c>
      <c r="H92">
        <v>4</v>
      </c>
      <c r="I92" t="s">
        <v>19</v>
      </c>
      <c r="J92" t="s">
        <v>20</v>
      </c>
      <c r="K92">
        <v>65</v>
      </c>
      <c r="L92">
        <v>5000</v>
      </c>
      <c r="M92" t="s">
        <v>17</v>
      </c>
      <c r="N92" t="str">
        <f t="shared" si="7"/>
        <v>Adult</v>
      </c>
      <c r="O92" t="str">
        <f t="shared" si="8"/>
        <v>Well Rested</v>
      </c>
      <c r="P92" t="str">
        <f t="shared" si="9"/>
        <v>Moderate</v>
      </c>
      <c r="Q92" t="str">
        <f t="shared" si="10"/>
        <v>Low</v>
      </c>
      <c r="R92" t="str">
        <f t="shared" si="11"/>
        <v>Elevated</v>
      </c>
      <c r="S92" t="str">
        <f t="shared" si="12"/>
        <v>Good</v>
      </c>
      <c r="T92" t="str">
        <f t="shared" si="13"/>
        <v>Low Active</v>
      </c>
    </row>
    <row r="93" spans="1:20" x14ac:dyDescent="0.25">
      <c r="A93">
        <v>92</v>
      </c>
      <c r="B93" t="s">
        <v>13</v>
      </c>
      <c r="C93">
        <v>35</v>
      </c>
      <c r="D93" t="s">
        <v>34</v>
      </c>
      <c r="E93">
        <v>7.3</v>
      </c>
      <c r="F93">
        <v>8</v>
      </c>
      <c r="G93">
        <v>60</v>
      </c>
      <c r="H93">
        <v>4</v>
      </c>
      <c r="I93" t="s">
        <v>19</v>
      </c>
      <c r="J93" t="s">
        <v>20</v>
      </c>
      <c r="K93">
        <v>65</v>
      </c>
      <c r="L93">
        <v>5000</v>
      </c>
      <c r="M93" t="s">
        <v>17</v>
      </c>
      <c r="N93" t="str">
        <f t="shared" si="7"/>
        <v>Adult</v>
      </c>
      <c r="O93" t="str">
        <f t="shared" si="8"/>
        <v>Well Rested</v>
      </c>
      <c r="P93" t="str">
        <f t="shared" si="9"/>
        <v>Moderate</v>
      </c>
      <c r="Q93" t="str">
        <f t="shared" si="10"/>
        <v>Low</v>
      </c>
      <c r="R93" t="str">
        <f t="shared" si="11"/>
        <v>Elevated</v>
      </c>
      <c r="S93" t="str">
        <f t="shared" si="12"/>
        <v>Good</v>
      </c>
      <c r="T93" t="str">
        <f t="shared" si="13"/>
        <v>Low Active</v>
      </c>
    </row>
    <row r="94" spans="1:20" x14ac:dyDescent="0.25">
      <c r="A94">
        <v>93</v>
      </c>
      <c r="B94" t="s">
        <v>13</v>
      </c>
      <c r="C94">
        <v>35</v>
      </c>
      <c r="D94" t="s">
        <v>14</v>
      </c>
      <c r="E94">
        <v>7.5</v>
      </c>
      <c r="F94">
        <v>8</v>
      </c>
      <c r="G94">
        <v>60</v>
      </c>
      <c r="H94">
        <v>5</v>
      </c>
      <c r="I94" t="s">
        <v>30</v>
      </c>
      <c r="J94" t="s">
        <v>27</v>
      </c>
      <c r="K94">
        <v>70</v>
      </c>
      <c r="L94">
        <v>8000</v>
      </c>
      <c r="M94" t="s">
        <v>17</v>
      </c>
      <c r="N94" t="str">
        <f t="shared" si="7"/>
        <v>Adult</v>
      </c>
      <c r="O94" t="str">
        <f t="shared" si="8"/>
        <v>Well Rested</v>
      </c>
      <c r="P94" t="str">
        <f t="shared" si="9"/>
        <v>Moderate</v>
      </c>
      <c r="Q94" t="str">
        <f t="shared" si="10"/>
        <v>Mid</v>
      </c>
      <c r="R94" t="str">
        <f t="shared" si="11"/>
        <v>Elevated</v>
      </c>
      <c r="S94" t="str">
        <f t="shared" si="12"/>
        <v>Average</v>
      </c>
      <c r="T94" t="str">
        <f t="shared" si="13"/>
        <v>Highly Active</v>
      </c>
    </row>
    <row r="95" spans="1:20" x14ac:dyDescent="0.25">
      <c r="A95">
        <v>94</v>
      </c>
      <c r="B95" t="s">
        <v>13</v>
      </c>
      <c r="C95">
        <v>35</v>
      </c>
      <c r="D95" t="s">
        <v>42</v>
      </c>
      <c r="E95">
        <v>7.4</v>
      </c>
      <c r="F95">
        <v>7</v>
      </c>
      <c r="G95">
        <v>60</v>
      </c>
      <c r="H95">
        <v>5</v>
      </c>
      <c r="I95" t="s">
        <v>22</v>
      </c>
      <c r="J95" t="s">
        <v>43</v>
      </c>
      <c r="K95">
        <v>84</v>
      </c>
      <c r="L95">
        <v>3300</v>
      </c>
      <c r="M95" t="s">
        <v>24</v>
      </c>
      <c r="N95" t="str">
        <f t="shared" si="7"/>
        <v>Adult</v>
      </c>
      <c r="O95" t="str">
        <f t="shared" si="8"/>
        <v>Good Sleep</v>
      </c>
      <c r="P95" t="str">
        <f t="shared" si="9"/>
        <v>Moderate</v>
      </c>
      <c r="Q95" t="str">
        <f t="shared" si="10"/>
        <v>Mid</v>
      </c>
      <c r="R95" t="str">
        <f t="shared" si="11"/>
        <v>HP Stage 1</v>
      </c>
      <c r="S95" t="str">
        <f t="shared" si="12"/>
        <v>Poor</v>
      </c>
      <c r="T95" t="str">
        <f t="shared" si="13"/>
        <v>Sedentary</v>
      </c>
    </row>
    <row r="96" spans="1:20" x14ac:dyDescent="0.25">
      <c r="A96">
        <v>95</v>
      </c>
      <c r="B96" t="s">
        <v>28</v>
      </c>
      <c r="C96">
        <v>36</v>
      </c>
      <c r="D96" t="s">
        <v>35</v>
      </c>
      <c r="E96">
        <v>7.2</v>
      </c>
      <c r="F96">
        <v>8</v>
      </c>
      <c r="G96">
        <v>60</v>
      </c>
      <c r="H96">
        <v>4</v>
      </c>
      <c r="I96" t="s">
        <v>19</v>
      </c>
      <c r="J96" t="s">
        <v>41</v>
      </c>
      <c r="K96">
        <v>68</v>
      </c>
      <c r="L96">
        <v>7000</v>
      </c>
      <c r="M96" t="s">
        <v>25</v>
      </c>
      <c r="N96" t="str">
        <f t="shared" si="7"/>
        <v>Adult</v>
      </c>
      <c r="O96" t="str">
        <f t="shared" si="8"/>
        <v>Well Rested</v>
      </c>
      <c r="P96" t="str">
        <f t="shared" si="9"/>
        <v>Moderate</v>
      </c>
      <c r="Q96" t="str">
        <f t="shared" si="10"/>
        <v>Low</v>
      </c>
      <c r="R96" t="str">
        <f t="shared" si="11"/>
        <v>Normal</v>
      </c>
      <c r="S96" t="str">
        <f t="shared" si="12"/>
        <v>Good</v>
      </c>
      <c r="T96" t="str">
        <f t="shared" si="13"/>
        <v>Active</v>
      </c>
    </row>
    <row r="97" spans="1:20" x14ac:dyDescent="0.25">
      <c r="A97">
        <v>96</v>
      </c>
      <c r="B97" t="s">
        <v>28</v>
      </c>
      <c r="C97">
        <v>36</v>
      </c>
      <c r="D97" t="s">
        <v>35</v>
      </c>
      <c r="E97">
        <v>7.1</v>
      </c>
      <c r="F97">
        <v>8</v>
      </c>
      <c r="G97">
        <v>60</v>
      </c>
      <c r="H97">
        <v>4</v>
      </c>
      <c r="I97" t="s">
        <v>19</v>
      </c>
      <c r="J97" t="s">
        <v>41</v>
      </c>
      <c r="K97">
        <v>68</v>
      </c>
      <c r="L97">
        <v>7000</v>
      </c>
      <c r="M97" t="s">
        <v>17</v>
      </c>
      <c r="N97" t="str">
        <f t="shared" si="7"/>
        <v>Adult</v>
      </c>
      <c r="O97" t="str">
        <f t="shared" si="8"/>
        <v>Well Rested</v>
      </c>
      <c r="P97" t="str">
        <f t="shared" si="9"/>
        <v>Moderate</v>
      </c>
      <c r="Q97" t="str">
        <f t="shared" si="10"/>
        <v>Low</v>
      </c>
      <c r="R97" t="str">
        <f t="shared" si="11"/>
        <v>Normal</v>
      </c>
      <c r="S97" t="str">
        <f t="shared" si="12"/>
        <v>Good</v>
      </c>
      <c r="T97" t="str">
        <f t="shared" si="13"/>
        <v>Active</v>
      </c>
    </row>
    <row r="98" spans="1:20" x14ac:dyDescent="0.25">
      <c r="A98">
        <v>97</v>
      </c>
      <c r="B98" t="s">
        <v>28</v>
      </c>
      <c r="C98">
        <v>36</v>
      </c>
      <c r="D98" t="s">
        <v>35</v>
      </c>
      <c r="E98">
        <v>7.2</v>
      </c>
      <c r="F98">
        <v>8</v>
      </c>
      <c r="G98">
        <v>60</v>
      </c>
      <c r="H98">
        <v>4</v>
      </c>
      <c r="I98" t="s">
        <v>19</v>
      </c>
      <c r="J98" t="s">
        <v>41</v>
      </c>
      <c r="K98">
        <v>68</v>
      </c>
      <c r="L98">
        <v>7000</v>
      </c>
      <c r="M98" t="s">
        <v>17</v>
      </c>
      <c r="N98" t="str">
        <f t="shared" si="7"/>
        <v>Adult</v>
      </c>
      <c r="O98" t="str">
        <f t="shared" si="8"/>
        <v>Well Rested</v>
      </c>
      <c r="P98" t="str">
        <f t="shared" si="9"/>
        <v>Moderate</v>
      </c>
      <c r="Q98" t="str">
        <f t="shared" si="10"/>
        <v>Low</v>
      </c>
      <c r="R98" t="str">
        <f t="shared" si="11"/>
        <v>Normal</v>
      </c>
      <c r="S98" t="str">
        <f t="shared" si="12"/>
        <v>Good</v>
      </c>
      <c r="T98" t="str">
        <f t="shared" si="13"/>
        <v>Active</v>
      </c>
    </row>
    <row r="99" spans="1:20" x14ac:dyDescent="0.25">
      <c r="A99">
        <v>98</v>
      </c>
      <c r="B99" t="s">
        <v>28</v>
      </c>
      <c r="C99">
        <v>36</v>
      </c>
      <c r="D99" t="s">
        <v>35</v>
      </c>
      <c r="E99">
        <v>7.1</v>
      </c>
      <c r="F99">
        <v>8</v>
      </c>
      <c r="G99">
        <v>60</v>
      </c>
      <c r="H99">
        <v>4</v>
      </c>
      <c r="I99" t="s">
        <v>19</v>
      </c>
      <c r="J99" t="s">
        <v>41</v>
      </c>
      <c r="K99">
        <v>68</v>
      </c>
      <c r="L99">
        <v>7000</v>
      </c>
      <c r="M99" t="s">
        <v>17</v>
      </c>
      <c r="N99" t="str">
        <f t="shared" si="7"/>
        <v>Adult</v>
      </c>
      <c r="O99" t="str">
        <f t="shared" si="8"/>
        <v>Well Rested</v>
      </c>
      <c r="P99" t="str">
        <f t="shared" si="9"/>
        <v>Moderate</v>
      </c>
      <c r="Q99" t="str">
        <f t="shared" si="10"/>
        <v>Low</v>
      </c>
      <c r="R99" t="str">
        <f t="shared" si="11"/>
        <v>Normal</v>
      </c>
      <c r="S99" t="str">
        <f t="shared" si="12"/>
        <v>Good</v>
      </c>
      <c r="T99" t="str">
        <f t="shared" si="13"/>
        <v>Active</v>
      </c>
    </row>
    <row r="100" spans="1:20" x14ac:dyDescent="0.25">
      <c r="A100">
        <v>99</v>
      </c>
      <c r="B100" t="s">
        <v>28</v>
      </c>
      <c r="C100">
        <v>36</v>
      </c>
      <c r="D100" t="s">
        <v>26</v>
      </c>
      <c r="E100">
        <v>7.1</v>
      </c>
      <c r="F100">
        <v>8</v>
      </c>
      <c r="G100">
        <v>60</v>
      </c>
      <c r="H100">
        <v>4</v>
      </c>
      <c r="I100" t="s">
        <v>19</v>
      </c>
      <c r="J100" t="s">
        <v>41</v>
      </c>
      <c r="K100">
        <v>68</v>
      </c>
      <c r="L100">
        <v>7000</v>
      </c>
      <c r="M100" t="s">
        <v>17</v>
      </c>
      <c r="N100" t="str">
        <f t="shared" si="7"/>
        <v>Adult</v>
      </c>
      <c r="O100" t="str">
        <f t="shared" si="8"/>
        <v>Well Rested</v>
      </c>
      <c r="P100" t="str">
        <f t="shared" si="9"/>
        <v>Moderate</v>
      </c>
      <c r="Q100" t="str">
        <f t="shared" si="10"/>
        <v>Low</v>
      </c>
      <c r="R100" t="str">
        <f t="shared" si="11"/>
        <v>Normal</v>
      </c>
      <c r="S100" t="str">
        <f t="shared" si="12"/>
        <v>Good</v>
      </c>
      <c r="T100" t="str">
        <f t="shared" si="13"/>
        <v>Active</v>
      </c>
    </row>
    <row r="101" spans="1:20" x14ac:dyDescent="0.25">
      <c r="A101">
        <v>100</v>
      </c>
      <c r="B101" t="s">
        <v>28</v>
      </c>
      <c r="C101">
        <v>36</v>
      </c>
      <c r="D101" t="s">
        <v>26</v>
      </c>
      <c r="E101">
        <v>7.1</v>
      </c>
      <c r="F101">
        <v>8</v>
      </c>
      <c r="G101">
        <v>60</v>
      </c>
      <c r="H101">
        <v>4</v>
      </c>
      <c r="I101" t="s">
        <v>19</v>
      </c>
      <c r="J101" t="s">
        <v>41</v>
      </c>
      <c r="K101">
        <v>68</v>
      </c>
      <c r="L101">
        <v>7000</v>
      </c>
      <c r="M101" t="s">
        <v>17</v>
      </c>
      <c r="N101" t="str">
        <f t="shared" si="7"/>
        <v>Adult</v>
      </c>
      <c r="O101" t="str">
        <f t="shared" si="8"/>
        <v>Well Rested</v>
      </c>
      <c r="P101" t="str">
        <f t="shared" si="9"/>
        <v>Moderate</v>
      </c>
      <c r="Q101" t="str">
        <f t="shared" si="10"/>
        <v>Low</v>
      </c>
      <c r="R101" t="str">
        <f t="shared" si="11"/>
        <v>Normal</v>
      </c>
      <c r="S101" t="str">
        <f t="shared" si="12"/>
        <v>Good</v>
      </c>
      <c r="T101" t="str">
        <f t="shared" si="13"/>
        <v>Active</v>
      </c>
    </row>
    <row r="102" spans="1:20" x14ac:dyDescent="0.25">
      <c r="A102">
        <v>101</v>
      </c>
      <c r="B102" t="s">
        <v>28</v>
      </c>
      <c r="C102">
        <v>36</v>
      </c>
      <c r="D102" t="s">
        <v>26</v>
      </c>
      <c r="E102">
        <v>7.2</v>
      </c>
      <c r="F102">
        <v>8</v>
      </c>
      <c r="G102">
        <v>60</v>
      </c>
      <c r="H102">
        <v>4</v>
      </c>
      <c r="I102" t="s">
        <v>19</v>
      </c>
      <c r="J102" t="s">
        <v>41</v>
      </c>
      <c r="K102">
        <v>68</v>
      </c>
      <c r="L102">
        <v>7000</v>
      </c>
      <c r="M102" t="s">
        <v>17</v>
      </c>
      <c r="N102" t="str">
        <f t="shared" si="7"/>
        <v>Adult</v>
      </c>
      <c r="O102" t="str">
        <f t="shared" si="8"/>
        <v>Well Rested</v>
      </c>
      <c r="P102" t="str">
        <f t="shared" si="9"/>
        <v>Moderate</v>
      </c>
      <c r="Q102" t="str">
        <f t="shared" si="10"/>
        <v>Low</v>
      </c>
      <c r="R102" t="str">
        <f t="shared" si="11"/>
        <v>Normal</v>
      </c>
      <c r="S102" t="str">
        <f t="shared" si="12"/>
        <v>Good</v>
      </c>
      <c r="T102" t="str">
        <f t="shared" si="13"/>
        <v>Active</v>
      </c>
    </row>
    <row r="103" spans="1:20" x14ac:dyDescent="0.25">
      <c r="A103">
        <v>102</v>
      </c>
      <c r="B103" t="s">
        <v>28</v>
      </c>
      <c r="C103">
        <v>36</v>
      </c>
      <c r="D103" t="s">
        <v>26</v>
      </c>
      <c r="E103">
        <v>7.2</v>
      </c>
      <c r="F103">
        <v>8</v>
      </c>
      <c r="G103">
        <v>60</v>
      </c>
      <c r="H103">
        <v>4</v>
      </c>
      <c r="I103" t="s">
        <v>19</v>
      </c>
      <c r="J103" t="s">
        <v>41</v>
      </c>
      <c r="K103">
        <v>68</v>
      </c>
      <c r="L103">
        <v>7000</v>
      </c>
      <c r="M103" t="s">
        <v>17</v>
      </c>
      <c r="N103" t="str">
        <f t="shared" si="7"/>
        <v>Adult</v>
      </c>
      <c r="O103" t="str">
        <f t="shared" si="8"/>
        <v>Well Rested</v>
      </c>
      <c r="P103" t="str">
        <f t="shared" si="9"/>
        <v>Moderate</v>
      </c>
      <c r="Q103" t="str">
        <f t="shared" si="10"/>
        <v>Low</v>
      </c>
      <c r="R103" t="str">
        <f t="shared" si="11"/>
        <v>Normal</v>
      </c>
      <c r="S103" t="str">
        <f t="shared" si="12"/>
        <v>Good</v>
      </c>
      <c r="T103" t="str">
        <f t="shared" si="13"/>
        <v>Active</v>
      </c>
    </row>
    <row r="104" spans="1:20" x14ac:dyDescent="0.25">
      <c r="A104">
        <v>103</v>
      </c>
      <c r="B104" t="s">
        <v>28</v>
      </c>
      <c r="C104">
        <v>36</v>
      </c>
      <c r="D104" t="s">
        <v>26</v>
      </c>
      <c r="E104">
        <v>7.2</v>
      </c>
      <c r="F104">
        <v>8</v>
      </c>
      <c r="G104">
        <v>60</v>
      </c>
      <c r="H104">
        <v>4</v>
      </c>
      <c r="I104" t="s">
        <v>19</v>
      </c>
      <c r="J104" t="s">
        <v>41</v>
      </c>
      <c r="K104">
        <v>68</v>
      </c>
      <c r="L104">
        <v>7000</v>
      </c>
      <c r="M104" t="s">
        <v>17</v>
      </c>
      <c r="N104" t="str">
        <f t="shared" si="7"/>
        <v>Adult</v>
      </c>
      <c r="O104" t="str">
        <f t="shared" si="8"/>
        <v>Well Rested</v>
      </c>
      <c r="P104" t="str">
        <f t="shared" si="9"/>
        <v>Moderate</v>
      </c>
      <c r="Q104" t="str">
        <f t="shared" si="10"/>
        <v>Low</v>
      </c>
      <c r="R104" t="str">
        <f t="shared" si="11"/>
        <v>Normal</v>
      </c>
      <c r="S104" t="str">
        <f t="shared" si="12"/>
        <v>Good</v>
      </c>
      <c r="T104" t="str">
        <f t="shared" si="13"/>
        <v>Active</v>
      </c>
    </row>
    <row r="105" spans="1:20" x14ac:dyDescent="0.25">
      <c r="A105">
        <v>104</v>
      </c>
      <c r="B105" t="s">
        <v>13</v>
      </c>
      <c r="C105">
        <v>36</v>
      </c>
      <c r="D105" t="s">
        <v>26</v>
      </c>
      <c r="E105">
        <v>6.6</v>
      </c>
      <c r="F105">
        <v>5</v>
      </c>
      <c r="G105">
        <v>35</v>
      </c>
      <c r="H105">
        <v>7</v>
      </c>
      <c r="I105" t="s">
        <v>15</v>
      </c>
      <c r="J105" t="s">
        <v>44</v>
      </c>
      <c r="K105">
        <v>74</v>
      </c>
      <c r="L105">
        <v>4800</v>
      </c>
      <c r="M105" t="s">
        <v>24</v>
      </c>
      <c r="N105" t="str">
        <f t="shared" si="7"/>
        <v>Adult</v>
      </c>
      <c r="O105" t="str">
        <f t="shared" si="8"/>
        <v>Need more sleep</v>
      </c>
      <c r="P105" t="str">
        <f t="shared" si="9"/>
        <v>Low</v>
      </c>
      <c r="Q105" t="str">
        <f t="shared" si="10"/>
        <v>High</v>
      </c>
      <c r="R105" t="str">
        <f t="shared" si="11"/>
        <v>Elevated</v>
      </c>
      <c r="S105" t="str">
        <f t="shared" si="12"/>
        <v>Average</v>
      </c>
      <c r="T105" t="str">
        <f t="shared" si="13"/>
        <v>Low Active</v>
      </c>
    </row>
    <row r="106" spans="1:20" x14ac:dyDescent="0.25">
      <c r="A106">
        <v>105</v>
      </c>
      <c r="B106" t="s">
        <v>28</v>
      </c>
      <c r="C106">
        <v>36</v>
      </c>
      <c r="D106" t="s">
        <v>26</v>
      </c>
      <c r="E106">
        <v>7.2</v>
      </c>
      <c r="F106">
        <v>8</v>
      </c>
      <c r="G106">
        <v>60</v>
      </c>
      <c r="H106">
        <v>4</v>
      </c>
      <c r="I106" t="s">
        <v>19</v>
      </c>
      <c r="J106" t="s">
        <v>41</v>
      </c>
      <c r="K106">
        <v>68</v>
      </c>
      <c r="L106">
        <v>7000</v>
      </c>
      <c r="M106" t="s">
        <v>24</v>
      </c>
      <c r="N106" t="str">
        <f t="shared" si="7"/>
        <v>Adult</v>
      </c>
      <c r="O106" t="str">
        <f t="shared" si="8"/>
        <v>Well Rested</v>
      </c>
      <c r="P106" t="str">
        <f t="shared" si="9"/>
        <v>Moderate</v>
      </c>
      <c r="Q106" t="str">
        <f t="shared" si="10"/>
        <v>Low</v>
      </c>
      <c r="R106" t="str">
        <f t="shared" si="11"/>
        <v>Normal</v>
      </c>
      <c r="S106" t="str">
        <f t="shared" si="12"/>
        <v>Good</v>
      </c>
      <c r="T106" t="str">
        <f t="shared" si="13"/>
        <v>Active</v>
      </c>
    </row>
    <row r="107" spans="1:20" x14ac:dyDescent="0.25">
      <c r="A107">
        <v>106</v>
      </c>
      <c r="B107" t="s">
        <v>13</v>
      </c>
      <c r="C107">
        <v>36</v>
      </c>
      <c r="D107" t="s">
        <v>26</v>
      </c>
      <c r="E107">
        <v>6.6</v>
      </c>
      <c r="F107">
        <v>5</v>
      </c>
      <c r="G107">
        <v>35</v>
      </c>
      <c r="H107">
        <v>7</v>
      </c>
      <c r="I107" t="s">
        <v>15</v>
      </c>
      <c r="J107" t="s">
        <v>44</v>
      </c>
      <c r="K107">
        <v>74</v>
      </c>
      <c r="L107">
        <v>4800</v>
      </c>
      <c r="M107" t="s">
        <v>25</v>
      </c>
      <c r="N107" t="str">
        <f t="shared" si="7"/>
        <v>Adult</v>
      </c>
      <c r="O107" t="str">
        <f t="shared" si="8"/>
        <v>Need more sleep</v>
      </c>
      <c r="P107" t="str">
        <f t="shared" si="9"/>
        <v>Low</v>
      </c>
      <c r="Q107" t="str">
        <f t="shared" si="10"/>
        <v>High</v>
      </c>
      <c r="R107" t="str">
        <f t="shared" si="11"/>
        <v>Elevated</v>
      </c>
      <c r="S107" t="str">
        <f t="shared" si="12"/>
        <v>Average</v>
      </c>
      <c r="T107" t="str">
        <f t="shared" si="13"/>
        <v>Low Active</v>
      </c>
    </row>
    <row r="108" spans="1:20" x14ac:dyDescent="0.25">
      <c r="A108">
        <v>107</v>
      </c>
      <c r="B108" t="s">
        <v>28</v>
      </c>
      <c r="C108">
        <v>37</v>
      </c>
      <c r="D108" t="s">
        <v>29</v>
      </c>
      <c r="E108">
        <v>6.1</v>
      </c>
      <c r="F108">
        <v>6</v>
      </c>
      <c r="G108">
        <v>42</v>
      </c>
      <c r="H108">
        <v>6</v>
      </c>
      <c r="I108" t="s">
        <v>15</v>
      </c>
      <c r="J108" t="s">
        <v>16</v>
      </c>
      <c r="K108">
        <v>77</v>
      </c>
      <c r="L108">
        <v>4200</v>
      </c>
      <c r="M108" t="s">
        <v>17</v>
      </c>
      <c r="N108" t="str">
        <f t="shared" si="7"/>
        <v>Adult</v>
      </c>
      <c r="O108" t="str">
        <f t="shared" si="8"/>
        <v>Okay Sleep</v>
      </c>
      <c r="P108" t="str">
        <f t="shared" si="9"/>
        <v>Not Good Enough</v>
      </c>
      <c r="Q108" t="str">
        <f t="shared" si="10"/>
        <v>Mid</v>
      </c>
      <c r="R108" t="str">
        <f t="shared" si="11"/>
        <v>Elevated</v>
      </c>
      <c r="S108" t="str">
        <f t="shared" si="12"/>
        <v>Below Average</v>
      </c>
      <c r="T108" t="str">
        <f t="shared" si="13"/>
        <v>Low Active</v>
      </c>
    </row>
    <row r="109" spans="1:20" x14ac:dyDescent="0.25">
      <c r="A109">
        <v>108</v>
      </c>
      <c r="B109" t="s">
        <v>13</v>
      </c>
      <c r="C109">
        <v>37</v>
      </c>
      <c r="D109" t="s">
        <v>34</v>
      </c>
      <c r="E109">
        <v>7.8</v>
      </c>
      <c r="F109">
        <v>8</v>
      </c>
      <c r="G109">
        <v>70</v>
      </c>
      <c r="H109">
        <v>4</v>
      </c>
      <c r="I109" t="s">
        <v>30</v>
      </c>
      <c r="J109" t="s">
        <v>27</v>
      </c>
      <c r="K109">
        <v>68</v>
      </c>
      <c r="L109">
        <v>7000</v>
      </c>
      <c r="M109" t="s">
        <v>17</v>
      </c>
      <c r="N109" t="str">
        <f t="shared" si="7"/>
        <v>Adult</v>
      </c>
      <c r="O109" t="str">
        <f t="shared" si="8"/>
        <v>Well Rested</v>
      </c>
      <c r="P109" t="str">
        <f t="shared" si="9"/>
        <v>High</v>
      </c>
      <c r="Q109" t="str">
        <f t="shared" si="10"/>
        <v>Low</v>
      </c>
      <c r="R109" t="str">
        <f t="shared" si="11"/>
        <v>Elevated</v>
      </c>
      <c r="S109" t="str">
        <f t="shared" si="12"/>
        <v>Good</v>
      </c>
      <c r="T109" t="str">
        <f t="shared" si="13"/>
        <v>Active</v>
      </c>
    </row>
    <row r="110" spans="1:20" x14ac:dyDescent="0.25">
      <c r="A110">
        <v>109</v>
      </c>
      <c r="B110" t="s">
        <v>13</v>
      </c>
      <c r="C110">
        <v>37</v>
      </c>
      <c r="D110" t="s">
        <v>34</v>
      </c>
      <c r="E110">
        <v>7.8</v>
      </c>
      <c r="F110">
        <v>8</v>
      </c>
      <c r="G110">
        <v>70</v>
      </c>
      <c r="H110">
        <v>4</v>
      </c>
      <c r="I110" t="s">
        <v>30</v>
      </c>
      <c r="J110" t="s">
        <v>27</v>
      </c>
      <c r="K110">
        <v>68</v>
      </c>
      <c r="L110">
        <v>7000</v>
      </c>
      <c r="M110" t="s">
        <v>17</v>
      </c>
      <c r="N110" t="str">
        <f t="shared" si="7"/>
        <v>Adult</v>
      </c>
      <c r="O110" t="str">
        <f t="shared" si="8"/>
        <v>Well Rested</v>
      </c>
      <c r="P110" t="str">
        <f t="shared" si="9"/>
        <v>High</v>
      </c>
      <c r="Q110" t="str">
        <f t="shared" si="10"/>
        <v>Low</v>
      </c>
      <c r="R110" t="str">
        <f t="shared" si="11"/>
        <v>Elevated</v>
      </c>
      <c r="S110" t="str">
        <f t="shared" si="12"/>
        <v>Good</v>
      </c>
      <c r="T110" t="str">
        <f t="shared" si="13"/>
        <v>Active</v>
      </c>
    </row>
    <row r="111" spans="1:20" x14ac:dyDescent="0.25">
      <c r="A111">
        <v>110</v>
      </c>
      <c r="B111" t="s">
        <v>13</v>
      </c>
      <c r="C111">
        <v>37</v>
      </c>
      <c r="D111" t="s">
        <v>42</v>
      </c>
      <c r="E111">
        <v>7.4</v>
      </c>
      <c r="F111">
        <v>8</v>
      </c>
      <c r="G111">
        <v>60</v>
      </c>
      <c r="H111">
        <v>5</v>
      </c>
      <c r="I111" t="s">
        <v>19</v>
      </c>
      <c r="J111" t="s">
        <v>45</v>
      </c>
      <c r="K111">
        <v>68</v>
      </c>
      <c r="L111">
        <v>8000</v>
      </c>
      <c r="M111" t="s">
        <v>17</v>
      </c>
      <c r="N111" t="str">
        <f t="shared" si="7"/>
        <v>Adult</v>
      </c>
      <c r="O111" t="str">
        <f t="shared" si="8"/>
        <v>Well Rested</v>
      </c>
      <c r="P111" t="str">
        <f t="shared" si="9"/>
        <v>Moderate</v>
      </c>
      <c r="Q111" t="str">
        <f t="shared" si="10"/>
        <v>Mid</v>
      </c>
      <c r="R111" t="str">
        <f t="shared" si="11"/>
        <v>HP Stage 1</v>
      </c>
      <c r="S111" t="str">
        <f t="shared" si="12"/>
        <v>Good</v>
      </c>
      <c r="T111" t="str">
        <f t="shared" si="13"/>
        <v>Highly Active</v>
      </c>
    </row>
    <row r="112" spans="1:20" x14ac:dyDescent="0.25">
      <c r="A112">
        <v>111</v>
      </c>
      <c r="B112" t="s">
        <v>28</v>
      </c>
      <c r="C112">
        <v>37</v>
      </c>
      <c r="D112" t="s">
        <v>35</v>
      </c>
      <c r="E112">
        <v>7.2</v>
      </c>
      <c r="F112">
        <v>8</v>
      </c>
      <c r="G112">
        <v>60</v>
      </c>
      <c r="H112">
        <v>4</v>
      </c>
      <c r="I112" t="s">
        <v>19</v>
      </c>
      <c r="J112" t="s">
        <v>41</v>
      </c>
      <c r="K112">
        <v>68</v>
      </c>
      <c r="L112">
        <v>7000</v>
      </c>
      <c r="M112" t="s">
        <v>17</v>
      </c>
      <c r="N112" t="str">
        <f t="shared" si="7"/>
        <v>Adult</v>
      </c>
      <c r="O112" t="str">
        <f t="shared" si="8"/>
        <v>Well Rested</v>
      </c>
      <c r="P112" t="str">
        <f t="shared" si="9"/>
        <v>Moderate</v>
      </c>
      <c r="Q112" t="str">
        <f t="shared" si="10"/>
        <v>Low</v>
      </c>
      <c r="R112" t="str">
        <f t="shared" si="11"/>
        <v>Normal</v>
      </c>
      <c r="S112" t="str">
        <f t="shared" si="12"/>
        <v>Good</v>
      </c>
      <c r="T112" t="str">
        <f t="shared" si="13"/>
        <v>Active</v>
      </c>
    </row>
    <row r="113" spans="1:20" x14ac:dyDescent="0.25">
      <c r="A113">
        <v>112</v>
      </c>
      <c r="B113" t="s">
        <v>13</v>
      </c>
      <c r="C113">
        <v>37</v>
      </c>
      <c r="D113" t="s">
        <v>42</v>
      </c>
      <c r="E113">
        <v>7.4</v>
      </c>
      <c r="F113">
        <v>8</v>
      </c>
      <c r="G113">
        <v>60</v>
      </c>
      <c r="H113">
        <v>5</v>
      </c>
      <c r="I113" t="s">
        <v>19</v>
      </c>
      <c r="J113" t="s">
        <v>45</v>
      </c>
      <c r="K113">
        <v>68</v>
      </c>
      <c r="L113">
        <v>8000</v>
      </c>
      <c r="M113" t="s">
        <v>17</v>
      </c>
      <c r="N113" t="str">
        <f t="shared" si="7"/>
        <v>Adult</v>
      </c>
      <c r="O113" t="str">
        <f t="shared" si="8"/>
        <v>Well Rested</v>
      </c>
      <c r="P113" t="str">
        <f t="shared" si="9"/>
        <v>Moderate</v>
      </c>
      <c r="Q113" t="str">
        <f t="shared" si="10"/>
        <v>Mid</v>
      </c>
      <c r="R113" t="str">
        <f t="shared" si="11"/>
        <v>HP Stage 1</v>
      </c>
      <c r="S113" t="str">
        <f t="shared" si="12"/>
        <v>Good</v>
      </c>
      <c r="T113" t="str">
        <f t="shared" si="13"/>
        <v>Highly Active</v>
      </c>
    </row>
    <row r="114" spans="1:20" x14ac:dyDescent="0.25">
      <c r="A114">
        <v>113</v>
      </c>
      <c r="B114" t="s">
        <v>28</v>
      </c>
      <c r="C114">
        <v>37</v>
      </c>
      <c r="D114" t="s">
        <v>35</v>
      </c>
      <c r="E114">
        <v>7.2</v>
      </c>
      <c r="F114">
        <v>8</v>
      </c>
      <c r="G114">
        <v>60</v>
      </c>
      <c r="H114">
        <v>4</v>
      </c>
      <c r="I114" t="s">
        <v>19</v>
      </c>
      <c r="J114" t="s">
        <v>41</v>
      </c>
      <c r="K114">
        <v>68</v>
      </c>
      <c r="L114">
        <v>7000</v>
      </c>
      <c r="M114" t="s">
        <v>17</v>
      </c>
      <c r="N114" t="str">
        <f t="shared" si="7"/>
        <v>Adult</v>
      </c>
      <c r="O114" t="str">
        <f t="shared" si="8"/>
        <v>Well Rested</v>
      </c>
      <c r="P114" t="str">
        <f t="shared" si="9"/>
        <v>Moderate</v>
      </c>
      <c r="Q114" t="str">
        <f t="shared" si="10"/>
        <v>Low</v>
      </c>
      <c r="R114" t="str">
        <f t="shared" si="11"/>
        <v>Normal</v>
      </c>
      <c r="S114" t="str">
        <f t="shared" si="12"/>
        <v>Good</v>
      </c>
      <c r="T114" t="str">
        <f t="shared" si="13"/>
        <v>Active</v>
      </c>
    </row>
    <row r="115" spans="1:20" x14ac:dyDescent="0.25">
      <c r="A115">
        <v>114</v>
      </c>
      <c r="B115" t="s">
        <v>13</v>
      </c>
      <c r="C115">
        <v>37</v>
      </c>
      <c r="D115" t="s">
        <v>42</v>
      </c>
      <c r="E115">
        <v>7.4</v>
      </c>
      <c r="F115">
        <v>8</v>
      </c>
      <c r="G115">
        <v>60</v>
      </c>
      <c r="H115">
        <v>5</v>
      </c>
      <c r="I115" t="s">
        <v>19</v>
      </c>
      <c r="J115" t="s">
        <v>45</v>
      </c>
      <c r="K115">
        <v>68</v>
      </c>
      <c r="L115">
        <v>8000</v>
      </c>
      <c r="M115" t="s">
        <v>17</v>
      </c>
      <c r="N115" t="str">
        <f t="shared" si="7"/>
        <v>Adult</v>
      </c>
      <c r="O115" t="str">
        <f t="shared" si="8"/>
        <v>Well Rested</v>
      </c>
      <c r="P115" t="str">
        <f t="shared" si="9"/>
        <v>Moderate</v>
      </c>
      <c r="Q115" t="str">
        <f t="shared" si="10"/>
        <v>Mid</v>
      </c>
      <c r="R115" t="str">
        <f t="shared" si="11"/>
        <v>HP Stage 1</v>
      </c>
      <c r="S115" t="str">
        <f t="shared" si="12"/>
        <v>Good</v>
      </c>
      <c r="T115" t="str">
        <f t="shared" si="13"/>
        <v>Highly Active</v>
      </c>
    </row>
    <row r="116" spans="1:20" x14ac:dyDescent="0.25">
      <c r="A116">
        <v>115</v>
      </c>
      <c r="B116" t="s">
        <v>28</v>
      </c>
      <c r="C116">
        <v>37</v>
      </c>
      <c r="D116" t="s">
        <v>35</v>
      </c>
      <c r="E116">
        <v>7.2</v>
      </c>
      <c r="F116">
        <v>8</v>
      </c>
      <c r="G116">
        <v>60</v>
      </c>
      <c r="H116">
        <v>4</v>
      </c>
      <c r="I116" t="s">
        <v>19</v>
      </c>
      <c r="J116" t="s">
        <v>41</v>
      </c>
      <c r="K116">
        <v>68</v>
      </c>
      <c r="L116">
        <v>7000</v>
      </c>
      <c r="M116" t="s">
        <v>17</v>
      </c>
      <c r="N116" t="str">
        <f t="shared" si="7"/>
        <v>Adult</v>
      </c>
      <c r="O116" t="str">
        <f t="shared" si="8"/>
        <v>Well Rested</v>
      </c>
      <c r="P116" t="str">
        <f t="shared" si="9"/>
        <v>Moderate</v>
      </c>
      <c r="Q116" t="str">
        <f t="shared" si="10"/>
        <v>Low</v>
      </c>
      <c r="R116" t="str">
        <f t="shared" si="11"/>
        <v>Normal</v>
      </c>
      <c r="S116" t="str">
        <f t="shared" si="12"/>
        <v>Good</v>
      </c>
      <c r="T116" t="str">
        <f t="shared" si="13"/>
        <v>Active</v>
      </c>
    </row>
    <row r="117" spans="1:20" x14ac:dyDescent="0.25">
      <c r="A117">
        <v>116</v>
      </c>
      <c r="B117" t="s">
        <v>28</v>
      </c>
      <c r="C117">
        <v>37</v>
      </c>
      <c r="D117" t="s">
        <v>35</v>
      </c>
      <c r="E117">
        <v>7.2</v>
      </c>
      <c r="F117">
        <v>8</v>
      </c>
      <c r="G117">
        <v>60</v>
      </c>
      <c r="H117">
        <v>4</v>
      </c>
      <c r="I117" t="s">
        <v>19</v>
      </c>
      <c r="J117" t="s">
        <v>41</v>
      </c>
      <c r="K117">
        <v>68</v>
      </c>
      <c r="L117">
        <v>7000</v>
      </c>
      <c r="M117" t="s">
        <v>17</v>
      </c>
      <c r="N117" t="str">
        <f t="shared" si="7"/>
        <v>Adult</v>
      </c>
      <c r="O117" t="str">
        <f t="shared" si="8"/>
        <v>Well Rested</v>
      </c>
      <c r="P117" t="str">
        <f t="shared" si="9"/>
        <v>Moderate</v>
      </c>
      <c r="Q117" t="str">
        <f t="shared" si="10"/>
        <v>Low</v>
      </c>
      <c r="R117" t="str">
        <f t="shared" si="11"/>
        <v>Normal</v>
      </c>
      <c r="S117" t="str">
        <f t="shared" si="12"/>
        <v>Good</v>
      </c>
      <c r="T117" t="str">
        <f t="shared" si="13"/>
        <v>Active</v>
      </c>
    </row>
    <row r="118" spans="1:20" x14ac:dyDescent="0.25">
      <c r="A118">
        <v>117</v>
      </c>
      <c r="B118" t="s">
        <v>28</v>
      </c>
      <c r="C118">
        <v>37</v>
      </c>
      <c r="D118" t="s">
        <v>35</v>
      </c>
      <c r="E118">
        <v>7.2</v>
      </c>
      <c r="F118">
        <v>8</v>
      </c>
      <c r="G118">
        <v>60</v>
      </c>
      <c r="H118">
        <v>4</v>
      </c>
      <c r="I118" t="s">
        <v>19</v>
      </c>
      <c r="J118" t="s">
        <v>41</v>
      </c>
      <c r="K118">
        <v>68</v>
      </c>
      <c r="L118">
        <v>7000</v>
      </c>
      <c r="M118" t="s">
        <v>17</v>
      </c>
      <c r="N118" t="str">
        <f t="shared" si="7"/>
        <v>Adult</v>
      </c>
      <c r="O118" t="str">
        <f t="shared" si="8"/>
        <v>Well Rested</v>
      </c>
      <c r="P118" t="str">
        <f t="shared" si="9"/>
        <v>Moderate</v>
      </c>
      <c r="Q118" t="str">
        <f t="shared" si="10"/>
        <v>Low</v>
      </c>
      <c r="R118" t="str">
        <f t="shared" si="11"/>
        <v>Normal</v>
      </c>
      <c r="S118" t="str">
        <f t="shared" si="12"/>
        <v>Good</v>
      </c>
      <c r="T118" t="str">
        <f t="shared" si="13"/>
        <v>Active</v>
      </c>
    </row>
    <row r="119" spans="1:20" x14ac:dyDescent="0.25">
      <c r="A119">
        <v>118</v>
      </c>
      <c r="B119" t="s">
        <v>28</v>
      </c>
      <c r="C119">
        <v>37</v>
      </c>
      <c r="D119" t="s">
        <v>35</v>
      </c>
      <c r="E119">
        <v>7.2</v>
      </c>
      <c r="F119">
        <v>8</v>
      </c>
      <c r="G119">
        <v>60</v>
      </c>
      <c r="H119">
        <v>4</v>
      </c>
      <c r="I119" t="s">
        <v>19</v>
      </c>
      <c r="J119" t="s">
        <v>41</v>
      </c>
      <c r="K119">
        <v>68</v>
      </c>
      <c r="L119">
        <v>7000</v>
      </c>
      <c r="M119" t="s">
        <v>17</v>
      </c>
      <c r="N119" t="str">
        <f t="shared" si="7"/>
        <v>Adult</v>
      </c>
      <c r="O119" t="str">
        <f t="shared" si="8"/>
        <v>Well Rested</v>
      </c>
      <c r="P119" t="str">
        <f t="shared" si="9"/>
        <v>Moderate</v>
      </c>
      <c r="Q119" t="str">
        <f t="shared" si="10"/>
        <v>Low</v>
      </c>
      <c r="R119" t="str">
        <f t="shared" si="11"/>
        <v>Normal</v>
      </c>
      <c r="S119" t="str">
        <f t="shared" si="12"/>
        <v>Good</v>
      </c>
      <c r="T119" t="str">
        <f t="shared" si="13"/>
        <v>Active</v>
      </c>
    </row>
    <row r="120" spans="1:20" x14ac:dyDescent="0.25">
      <c r="A120">
        <v>119</v>
      </c>
      <c r="B120" t="s">
        <v>28</v>
      </c>
      <c r="C120">
        <v>37</v>
      </c>
      <c r="D120" t="s">
        <v>35</v>
      </c>
      <c r="E120">
        <v>7.2</v>
      </c>
      <c r="F120">
        <v>8</v>
      </c>
      <c r="G120">
        <v>60</v>
      </c>
      <c r="H120">
        <v>4</v>
      </c>
      <c r="I120" t="s">
        <v>19</v>
      </c>
      <c r="J120" t="s">
        <v>41</v>
      </c>
      <c r="K120">
        <v>68</v>
      </c>
      <c r="L120">
        <v>7000</v>
      </c>
      <c r="M120" t="s">
        <v>17</v>
      </c>
      <c r="N120" t="str">
        <f t="shared" si="7"/>
        <v>Adult</v>
      </c>
      <c r="O120" t="str">
        <f t="shared" si="8"/>
        <v>Well Rested</v>
      </c>
      <c r="P120" t="str">
        <f t="shared" si="9"/>
        <v>Moderate</v>
      </c>
      <c r="Q120" t="str">
        <f t="shared" si="10"/>
        <v>Low</v>
      </c>
      <c r="R120" t="str">
        <f t="shared" si="11"/>
        <v>Normal</v>
      </c>
      <c r="S120" t="str">
        <f t="shared" si="12"/>
        <v>Good</v>
      </c>
      <c r="T120" t="str">
        <f t="shared" si="13"/>
        <v>Active</v>
      </c>
    </row>
    <row r="121" spans="1:20" x14ac:dyDescent="0.25">
      <c r="A121">
        <v>120</v>
      </c>
      <c r="B121" t="s">
        <v>28</v>
      </c>
      <c r="C121">
        <v>37</v>
      </c>
      <c r="D121" t="s">
        <v>35</v>
      </c>
      <c r="E121">
        <v>7.2</v>
      </c>
      <c r="F121">
        <v>8</v>
      </c>
      <c r="G121">
        <v>60</v>
      </c>
      <c r="H121">
        <v>4</v>
      </c>
      <c r="I121" t="s">
        <v>19</v>
      </c>
      <c r="J121" t="s">
        <v>41</v>
      </c>
      <c r="K121">
        <v>68</v>
      </c>
      <c r="L121">
        <v>7000</v>
      </c>
      <c r="M121" t="s">
        <v>17</v>
      </c>
      <c r="N121" t="str">
        <f t="shared" si="7"/>
        <v>Adult</v>
      </c>
      <c r="O121" t="str">
        <f t="shared" si="8"/>
        <v>Well Rested</v>
      </c>
      <c r="P121" t="str">
        <f t="shared" si="9"/>
        <v>Moderate</v>
      </c>
      <c r="Q121" t="str">
        <f t="shared" si="10"/>
        <v>Low</v>
      </c>
      <c r="R121" t="str">
        <f t="shared" si="11"/>
        <v>Normal</v>
      </c>
      <c r="S121" t="str">
        <f t="shared" si="12"/>
        <v>Good</v>
      </c>
      <c r="T121" t="str">
        <f t="shared" si="13"/>
        <v>Active</v>
      </c>
    </row>
    <row r="122" spans="1:20" x14ac:dyDescent="0.25">
      <c r="A122">
        <v>121</v>
      </c>
      <c r="B122" t="s">
        <v>28</v>
      </c>
      <c r="C122">
        <v>37</v>
      </c>
      <c r="D122" t="s">
        <v>35</v>
      </c>
      <c r="E122">
        <v>7.2</v>
      </c>
      <c r="F122">
        <v>8</v>
      </c>
      <c r="G122">
        <v>60</v>
      </c>
      <c r="H122">
        <v>4</v>
      </c>
      <c r="I122" t="s">
        <v>19</v>
      </c>
      <c r="J122" t="s">
        <v>41</v>
      </c>
      <c r="K122">
        <v>68</v>
      </c>
      <c r="L122">
        <v>7000</v>
      </c>
      <c r="M122" t="s">
        <v>17</v>
      </c>
      <c r="N122" t="str">
        <f t="shared" si="7"/>
        <v>Adult</v>
      </c>
      <c r="O122" t="str">
        <f t="shared" si="8"/>
        <v>Well Rested</v>
      </c>
      <c r="P122" t="str">
        <f t="shared" si="9"/>
        <v>Moderate</v>
      </c>
      <c r="Q122" t="str">
        <f t="shared" si="10"/>
        <v>Low</v>
      </c>
      <c r="R122" t="str">
        <f t="shared" si="11"/>
        <v>Normal</v>
      </c>
      <c r="S122" t="str">
        <f t="shared" si="12"/>
        <v>Good</v>
      </c>
      <c r="T122" t="str">
        <f t="shared" si="13"/>
        <v>Active</v>
      </c>
    </row>
    <row r="123" spans="1:20" x14ac:dyDescent="0.25">
      <c r="A123">
        <v>122</v>
      </c>
      <c r="B123" t="s">
        <v>28</v>
      </c>
      <c r="C123">
        <v>37</v>
      </c>
      <c r="D123" t="s">
        <v>35</v>
      </c>
      <c r="E123">
        <v>7.2</v>
      </c>
      <c r="F123">
        <v>8</v>
      </c>
      <c r="G123">
        <v>60</v>
      </c>
      <c r="H123">
        <v>4</v>
      </c>
      <c r="I123" t="s">
        <v>19</v>
      </c>
      <c r="J123" t="s">
        <v>41</v>
      </c>
      <c r="K123">
        <v>68</v>
      </c>
      <c r="L123">
        <v>7000</v>
      </c>
      <c r="M123" t="s">
        <v>17</v>
      </c>
      <c r="N123" t="str">
        <f t="shared" si="7"/>
        <v>Adult</v>
      </c>
      <c r="O123" t="str">
        <f t="shared" si="8"/>
        <v>Well Rested</v>
      </c>
      <c r="P123" t="str">
        <f t="shared" si="9"/>
        <v>Moderate</v>
      </c>
      <c r="Q123" t="str">
        <f t="shared" si="10"/>
        <v>Low</v>
      </c>
      <c r="R123" t="str">
        <f t="shared" si="11"/>
        <v>Normal</v>
      </c>
      <c r="S123" t="str">
        <f t="shared" si="12"/>
        <v>Good</v>
      </c>
      <c r="T123" t="str">
        <f t="shared" si="13"/>
        <v>Active</v>
      </c>
    </row>
    <row r="124" spans="1:20" x14ac:dyDescent="0.25">
      <c r="A124">
        <v>123</v>
      </c>
      <c r="B124" t="s">
        <v>28</v>
      </c>
      <c r="C124">
        <v>37</v>
      </c>
      <c r="D124" t="s">
        <v>35</v>
      </c>
      <c r="E124">
        <v>7.2</v>
      </c>
      <c r="F124">
        <v>8</v>
      </c>
      <c r="G124">
        <v>60</v>
      </c>
      <c r="H124">
        <v>4</v>
      </c>
      <c r="I124" t="s">
        <v>19</v>
      </c>
      <c r="J124" t="s">
        <v>41</v>
      </c>
      <c r="K124">
        <v>68</v>
      </c>
      <c r="L124">
        <v>7000</v>
      </c>
      <c r="M124" t="s">
        <v>17</v>
      </c>
      <c r="N124" t="str">
        <f t="shared" si="7"/>
        <v>Adult</v>
      </c>
      <c r="O124" t="str">
        <f t="shared" si="8"/>
        <v>Well Rested</v>
      </c>
      <c r="P124" t="str">
        <f t="shared" si="9"/>
        <v>Moderate</v>
      </c>
      <c r="Q124" t="str">
        <f t="shared" si="10"/>
        <v>Low</v>
      </c>
      <c r="R124" t="str">
        <f t="shared" si="11"/>
        <v>Normal</v>
      </c>
      <c r="S124" t="str">
        <f t="shared" si="12"/>
        <v>Good</v>
      </c>
      <c r="T124" t="str">
        <f t="shared" si="13"/>
        <v>Active</v>
      </c>
    </row>
    <row r="125" spans="1:20" x14ac:dyDescent="0.25">
      <c r="A125">
        <v>124</v>
      </c>
      <c r="B125" t="s">
        <v>28</v>
      </c>
      <c r="C125">
        <v>37</v>
      </c>
      <c r="D125" t="s">
        <v>35</v>
      </c>
      <c r="E125">
        <v>7.2</v>
      </c>
      <c r="F125">
        <v>8</v>
      </c>
      <c r="G125">
        <v>60</v>
      </c>
      <c r="H125">
        <v>4</v>
      </c>
      <c r="I125" t="s">
        <v>19</v>
      </c>
      <c r="J125" t="s">
        <v>41</v>
      </c>
      <c r="K125">
        <v>68</v>
      </c>
      <c r="L125">
        <v>7000</v>
      </c>
      <c r="M125" t="s">
        <v>17</v>
      </c>
      <c r="N125" t="str">
        <f t="shared" si="7"/>
        <v>Adult</v>
      </c>
      <c r="O125" t="str">
        <f t="shared" si="8"/>
        <v>Well Rested</v>
      </c>
      <c r="P125" t="str">
        <f t="shared" si="9"/>
        <v>Moderate</v>
      </c>
      <c r="Q125" t="str">
        <f t="shared" si="10"/>
        <v>Low</v>
      </c>
      <c r="R125" t="str">
        <f t="shared" si="11"/>
        <v>Normal</v>
      </c>
      <c r="S125" t="str">
        <f t="shared" si="12"/>
        <v>Good</v>
      </c>
      <c r="T125" t="str">
        <f t="shared" si="13"/>
        <v>Active</v>
      </c>
    </row>
    <row r="126" spans="1:20" x14ac:dyDescent="0.25">
      <c r="A126">
        <v>125</v>
      </c>
      <c r="B126" t="s">
        <v>28</v>
      </c>
      <c r="C126">
        <v>37</v>
      </c>
      <c r="D126" t="s">
        <v>35</v>
      </c>
      <c r="E126">
        <v>7.2</v>
      </c>
      <c r="F126">
        <v>8</v>
      </c>
      <c r="G126">
        <v>60</v>
      </c>
      <c r="H126">
        <v>4</v>
      </c>
      <c r="I126" t="s">
        <v>19</v>
      </c>
      <c r="J126" t="s">
        <v>41</v>
      </c>
      <c r="K126">
        <v>68</v>
      </c>
      <c r="L126">
        <v>7000</v>
      </c>
      <c r="M126" t="s">
        <v>17</v>
      </c>
      <c r="N126" t="str">
        <f t="shared" si="7"/>
        <v>Adult</v>
      </c>
      <c r="O126" t="str">
        <f t="shared" si="8"/>
        <v>Well Rested</v>
      </c>
      <c r="P126" t="str">
        <f t="shared" si="9"/>
        <v>Moderate</v>
      </c>
      <c r="Q126" t="str">
        <f t="shared" si="10"/>
        <v>Low</v>
      </c>
      <c r="R126" t="str">
        <f t="shared" si="11"/>
        <v>Normal</v>
      </c>
      <c r="S126" t="str">
        <f t="shared" si="12"/>
        <v>Good</v>
      </c>
      <c r="T126" t="str">
        <f t="shared" si="13"/>
        <v>Active</v>
      </c>
    </row>
    <row r="127" spans="1:20" x14ac:dyDescent="0.25">
      <c r="A127">
        <v>126</v>
      </c>
      <c r="B127" t="s">
        <v>28</v>
      </c>
      <c r="C127">
        <v>37</v>
      </c>
      <c r="D127" t="s">
        <v>29</v>
      </c>
      <c r="E127">
        <v>7.5</v>
      </c>
      <c r="F127">
        <v>8</v>
      </c>
      <c r="G127">
        <v>60</v>
      </c>
      <c r="H127">
        <v>4</v>
      </c>
      <c r="I127" t="s">
        <v>30</v>
      </c>
      <c r="J127" t="s">
        <v>27</v>
      </c>
      <c r="K127">
        <v>70</v>
      </c>
      <c r="L127">
        <v>8000</v>
      </c>
      <c r="M127" t="s">
        <v>17</v>
      </c>
      <c r="N127" t="str">
        <f t="shared" si="7"/>
        <v>Adult</v>
      </c>
      <c r="O127" t="str">
        <f t="shared" si="8"/>
        <v>Well Rested</v>
      </c>
      <c r="P127" t="str">
        <f t="shared" si="9"/>
        <v>Moderate</v>
      </c>
      <c r="Q127" t="str">
        <f t="shared" si="10"/>
        <v>Low</v>
      </c>
      <c r="R127" t="str">
        <f t="shared" si="11"/>
        <v>Elevated</v>
      </c>
      <c r="S127" t="str">
        <f t="shared" si="12"/>
        <v>Average</v>
      </c>
      <c r="T127" t="str">
        <f t="shared" si="13"/>
        <v>Highly Active</v>
      </c>
    </row>
    <row r="128" spans="1:20" x14ac:dyDescent="0.25">
      <c r="A128">
        <v>127</v>
      </c>
      <c r="B128" t="s">
        <v>13</v>
      </c>
      <c r="C128">
        <v>38</v>
      </c>
      <c r="D128" t="s">
        <v>42</v>
      </c>
      <c r="E128">
        <v>7.3</v>
      </c>
      <c r="F128">
        <v>8</v>
      </c>
      <c r="G128">
        <v>60</v>
      </c>
      <c r="H128">
        <v>5</v>
      </c>
      <c r="I128" t="s">
        <v>19</v>
      </c>
      <c r="J128" t="s">
        <v>45</v>
      </c>
      <c r="K128">
        <v>68</v>
      </c>
      <c r="L128">
        <v>8000</v>
      </c>
      <c r="M128" t="s">
        <v>17</v>
      </c>
      <c r="N128" t="str">
        <f t="shared" si="7"/>
        <v>Adult</v>
      </c>
      <c r="O128" t="str">
        <f t="shared" si="8"/>
        <v>Well Rested</v>
      </c>
      <c r="P128" t="str">
        <f t="shared" si="9"/>
        <v>Moderate</v>
      </c>
      <c r="Q128" t="str">
        <f t="shared" si="10"/>
        <v>Mid</v>
      </c>
      <c r="R128" t="str">
        <f t="shared" si="11"/>
        <v>HP Stage 1</v>
      </c>
      <c r="S128" t="str">
        <f t="shared" si="12"/>
        <v>Good</v>
      </c>
      <c r="T128" t="str">
        <f t="shared" si="13"/>
        <v>Highly Active</v>
      </c>
    </row>
    <row r="129" spans="1:20" x14ac:dyDescent="0.25">
      <c r="A129">
        <v>128</v>
      </c>
      <c r="B129" t="s">
        <v>28</v>
      </c>
      <c r="C129">
        <v>38</v>
      </c>
      <c r="D129" t="s">
        <v>35</v>
      </c>
      <c r="E129">
        <v>7.1</v>
      </c>
      <c r="F129">
        <v>8</v>
      </c>
      <c r="G129">
        <v>60</v>
      </c>
      <c r="H129">
        <v>4</v>
      </c>
      <c r="I129" t="s">
        <v>19</v>
      </c>
      <c r="J129" t="s">
        <v>41</v>
      </c>
      <c r="K129">
        <v>68</v>
      </c>
      <c r="L129">
        <v>7000</v>
      </c>
      <c r="M129" t="s">
        <v>17</v>
      </c>
      <c r="N129" t="str">
        <f t="shared" si="7"/>
        <v>Adult</v>
      </c>
      <c r="O129" t="str">
        <f t="shared" si="8"/>
        <v>Well Rested</v>
      </c>
      <c r="P129" t="str">
        <f t="shared" si="9"/>
        <v>Moderate</v>
      </c>
      <c r="Q129" t="str">
        <f t="shared" si="10"/>
        <v>Low</v>
      </c>
      <c r="R129" t="str">
        <f t="shared" si="11"/>
        <v>Normal</v>
      </c>
      <c r="S129" t="str">
        <f t="shared" si="12"/>
        <v>Good</v>
      </c>
      <c r="T129" t="str">
        <f t="shared" si="13"/>
        <v>Active</v>
      </c>
    </row>
    <row r="130" spans="1:20" x14ac:dyDescent="0.25">
      <c r="A130">
        <v>129</v>
      </c>
      <c r="B130" t="s">
        <v>13</v>
      </c>
      <c r="C130">
        <v>38</v>
      </c>
      <c r="D130" t="s">
        <v>42</v>
      </c>
      <c r="E130">
        <v>7.3</v>
      </c>
      <c r="F130">
        <v>8</v>
      </c>
      <c r="G130">
        <v>60</v>
      </c>
      <c r="H130">
        <v>5</v>
      </c>
      <c r="I130" t="s">
        <v>19</v>
      </c>
      <c r="J130" t="s">
        <v>45</v>
      </c>
      <c r="K130">
        <v>68</v>
      </c>
      <c r="L130">
        <v>8000</v>
      </c>
      <c r="M130" t="s">
        <v>17</v>
      </c>
      <c r="N130" t="str">
        <f t="shared" si="7"/>
        <v>Adult</v>
      </c>
      <c r="O130" t="str">
        <f t="shared" si="8"/>
        <v>Well Rested</v>
      </c>
      <c r="P130" t="str">
        <f t="shared" si="9"/>
        <v>Moderate</v>
      </c>
      <c r="Q130" t="str">
        <f t="shared" si="10"/>
        <v>Mid</v>
      </c>
      <c r="R130" t="str">
        <f t="shared" si="11"/>
        <v>HP Stage 1</v>
      </c>
      <c r="S130" t="str">
        <f t="shared" si="12"/>
        <v>Good</v>
      </c>
      <c r="T130" t="str">
        <f t="shared" si="13"/>
        <v>Highly Active</v>
      </c>
    </row>
    <row r="131" spans="1:20" x14ac:dyDescent="0.25">
      <c r="A131">
        <v>130</v>
      </c>
      <c r="B131" t="s">
        <v>13</v>
      </c>
      <c r="C131">
        <v>38</v>
      </c>
      <c r="D131" t="s">
        <v>42</v>
      </c>
      <c r="E131">
        <v>7.3</v>
      </c>
      <c r="F131">
        <v>8</v>
      </c>
      <c r="G131">
        <v>60</v>
      </c>
      <c r="H131">
        <v>5</v>
      </c>
      <c r="I131" t="s">
        <v>19</v>
      </c>
      <c r="J131" t="s">
        <v>45</v>
      </c>
      <c r="K131">
        <v>68</v>
      </c>
      <c r="L131">
        <v>8000</v>
      </c>
      <c r="M131" t="s">
        <v>17</v>
      </c>
      <c r="N131" t="str">
        <f t="shared" ref="N131:N194" si="14">_xlfn.IFS(C131&gt;=50, "Old", C131&gt;=35, "Adult",C131&gt;=27, "Young Adult")</f>
        <v>Adult</v>
      </c>
      <c r="O131" t="str">
        <f t="shared" ref="O131:O194" si="15">_xlfn.IFS(F131&gt;=8, "Well Rested", F131&gt;=7, "Good Sleep", F131&gt;=6, "Okay Sleep",F131&lt;6, "Need more sleep")</f>
        <v>Well Rested</v>
      </c>
      <c r="P131" t="str">
        <f t="shared" ref="P131:P194" si="16">_xlfn.IFS(G131&gt;=80, "Very High", G131&gt;=65, "High",G131&gt;=50, "Moderate", G131&gt;=40, "Not Good Enough", G131&lt;40,"Low")</f>
        <v>Moderate</v>
      </c>
      <c r="Q131" t="str">
        <f t="shared" ref="Q131:Q194" si="17">_xlfn.IFS(H131&gt;=7, "High", H131&gt;=5, "Mid", H131&lt;5, "Low")</f>
        <v>Mid</v>
      </c>
      <c r="R131" t="str">
        <f t="shared" ref="R131:R194" si="18">_xlfn.IFS(J131&gt;="140/90", "HP Stage 2", J131&gt;="130/85","HP Stage 1",J131&gt;="120/80","Elevated",J131&lt;"120/80","Normal")</f>
        <v>HP Stage 1</v>
      </c>
      <c r="S131" t="str">
        <f t="shared" ref="S131:S194" si="19">_xlfn.IFS(K131&gt;=80, "Poor", K131&gt;=75, "Below Average", K131&gt;=70, "Average",K131&lt;70,"Good")</f>
        <v>Good</v>
      </c>
      <c r="T131" t="str">
        <f t="shared" ref="T131:T194" si="20">_xlfn.IFS(L131&gt;=8000,"Highly Active", L131&gt;=6000, "Active", L131&gt;=4000, "Low Active",L131&lt;4000, "Sedentary")</f>
        <v>Highly Active</v>
      </c>
    </row>
    <row r="132" spans="1:20" x14ac:dyDescent="0.25">
      <c r="A132">
        <v>131</v>
      </c>
      <c r="B132" t="s">
        <v>28</v>
      </c>
      <c r="C132">
        <v>38</v>
      </c>
      <c r="D132" t="s">
        <v>35</v>
      </c>
      <c r="E132">
        <v>7.1</v>
      </c>
      <c r="F132">
        <v>8</v>
      </c>
      <c r="G132">
        <v>60</v>
      </c>
      <c r="H132">
        <v>4</v>
      </c>
      <c r="I132" t="s">
        <v>19</v>
      </c>
      <c r="J132" t="s">
        <v>41</v>
      </c>
      <c r="K132">
        <v>68</v>
      </c>
      <c r="L132">
        <v>7000</v>
      </c>
      <c r="M132" t="s">
        <v>17</v>
      </c>
      <c r="N132" t="str">
        <f t="shared" si="14"/>
        <v>Adult</v>
      </c>
      <c r="O132" t="str">
        <f t="shared" si="15"/>
        <v>Well Rested</v>
      </c>
      <c r="P132" t="str">
        <f t="shared" si="16"/>
        <v>Moderate</v>
      </c>
      <c r="Q132" t="str">
        <f t="shared" si="17"/>
        <v>Low</v>
      </c>
      <c r="R132" t="str">
        <f t="shared" si="18"/>
        <v>Normal</v>
      </c>
      <c r="S132" t="str">
        <f t="shared" si="19"/>
        <v>Good</v>
      </c>
      <c r="T132" t="str">
        <f t="shared" si="20"/>
        <v>Active</v>
      </c>
    </row>
    <row r="133" spans="1:20" x14ac:dyDescent="0.25">
      <c r="A133">
        <v>132</v>
      </c>
      <c r="B133" t="s">
        <v>13</v>
      </c>
      <c r="C133">
        <v>38</v>
      </c>
      <c r="D133" t="s">
        <v>42</v>
      </c>
      <c r="E133">
        <v>7.3</v>
      </c>
      <c r="F133">
        <v>8</v>
      </c>
      <c r="G133">
        <v>60</v>
      </c>
      <c r="H133">
        <v>5</v>
      </c>
      <c r="I133" t="s">
        <v>19</v>
      </c>
      <c r="J133" t="s">
        <v>45</v>
      </c>
      <c r="K133">
        <v>68</v>
      </c>
      <c r="L133">
        <v>8000</v>
      </c>
      <c r="M133" t="s">
        <v>17</v>
      </c>
      <c r="N133" t="str">
        <f t="shared" si="14"/>
        <v>Adult</v>
      </c>
      <c r="O133" t="str">
        <f t="shared" si="15"/>
        <v>Well Rested</v>
      </c>
      <c r="P133" t="str">
        <f t="shared" si="16"/>
        <v>Moderate</v>
      </c>
      <c r="Q133" t="str">
        <f t="shared" si="17"/>
        <v>Mid</v>
      </c>
      <c r="R133" t="str">
        <f t="shared" si="18"/>
        <v>HP Stage 1</v>
      </c>
      <c r="S133" t="str">
        <f t="shared" si="19"/>
        <v>Good</v>
      </c>
      <c r="T133" t="str">
        <f t="shared" si="20"/>
        <v>Highly Active</v>
      </c>
    </row>
    <row r="134" spans="1:20" x14ac:dyDescent="0.25">
      <c r="A134">
        <v>133</v>
      </c>
      <c r="B134" t="s">
        <v>13</v>
      </c>
      <c r="C134">
        <v>38</v>
      </c>
      <c r="D134" t="s">
        <v>42</v>
      </c>
      <c r="E134">
        <v>7.3</v>
      </c>
      <c r="F134">
        <v>8</v>
      </c>
      <c r="G134">
        <v>60</v>
      </c>
      <c r="H134">
        <v>5</v>
      </c>
      <c r="I134" t="s">
        <v>19</v>
      </c>
      <c r="J134" t="s">
        <v>45</v>
      </c>
      <c r="K134">
        <v>68</v>
      </c>
      <c r="L134">
        <v>8000</v>
      </c>
      <c r="M134" t="s">
        <v>17</v>
      </c>
      <c r="N134" t="str">
        <f t="shared" si="14"/>
        <v>Adult</v>
      </c>
      <c r="O134" t="str">
        <f t="shared" si="15"/>
        <v>Well Rested</v>
      </c>
      <c r="P134" t="str">
        <f t="shared" si="16"/>
        <v>Moderate</v>
      </c>
      <c r="Q134" t="str">
        <f t="shared" si="17"/>
        <v>Mid</v>
      </c>
      <c r="R134" t="str">
        <f t="shared" si="18"/>
        <v>HP Stage 1</v>
      </c>
      <c r="S134" t="str">
        <f t="shared" si="19"/>
        <v>Good</v>
      </c>
      <c r="T134" t="str">
        <f t="shared" si="20"/>
        <v>Highly Active</v>
      </c>
    </row>
    <row r="135" spans="1:20" x14ac:dyDescent="0.25">
      <c r="A135">
        <v>134</v>
      </c>
      <c r="B135" t="s">
        <v>28</v>
      </c>
      <c r="C135">
        <v>38</v>
      </c>
      <c r="D135" t="s">
        <v>35</v>
      </c>
      <c r="E135">
        <v>7.1</v>
      </c>
      <c r="F135">
        <v>8</v>
      </c>
      <c r="G135">
        <v>60</v>
      </c>
      <c r="H135">
        <v>4</v>
      </c>
      <c r="I135" t="s">
        <v>19</v>
      </c>
      <c r="J135" t="s">
        <v>41</v>
      </c>
      <c r="K135">
        <v>68</v>
      </c>
      <c r="L135">
        <v>7000</v>
      </c>
      <c r="M135" t="s">
        <v>17</v>
      </c>
      <c r="N135" t="str">
        <f t="shared" si="14"/>
        <v>Adult</v>
      </c>
      <c r="O135" t="str">
        <f t="shared" si="15"/>
        <v>Well Rested</v>
      </c>
      <c r="P135" t="str">
        <f t="shared" si="16"/>
        <v>Moderate</v>
      </c>
      <c r="Q135" t="str">
        <f t="shared" si="17"/>
        <v>Low</v>
      </c>
      <c r="R135" t="str">
        <f t="shared" si="18"/>
        <v>Normal</v>
      </c>
      <c r="S135" t="str">
        <f t="shared" si="19"/>
        <v>Good</v>
      </c>
      <c r="T135" t="str">
        <f t="shared" si="20"/>
        <v>Active</v>
      </c>
    </row>
    <row r="136" spans="1:20" x14ac:dyDescent="0.25">
      <c r="A136">
        <v>135</v>
      </c>
      <c r="B136" t="s">
        <v>13</v>
      </c>
      <c r="C136">
        <v>38</v>
      </c>
      <c r="D136" t="s">
        <v>42</v>
      </c>
      <c r="E136">
        <v>7.3</v>
      </c>
      <c r="F136">
        <v>8</v>
      </c>
      <c r="G136">
        <v>60</v>
      </c>
      <c r="H136">
        <v>5</v>
      </c>
      <c r="I136" t="s">
        <v>19</v>
      </c>
      <c r="J136" t="s">
        <v>45</v>
      </c>
      <c r="K136">
        <v>68</v>
      </c>
      <c r="L136">
        <v>8000</v>
      </c>
      <c r="M136" t="s">
        <v>17</v>
      </c>
      <c r="N136" t="str">
        <f t="shared" si="14"/>
        <v>Adult</v>
      </c>
      <c r="O136" t="str">
        <f t="shared" si="15"/>
        <v>Well Rested</v>
      </c>
      <c r="P136" t="str">
        <f t="shared" si="16"/>
        <v>Moderate</v>
      </c>
      <c r="Q136" t="str">
        <f t="shared" si="17"/>
        <v>Mid</v>
      </c>
      <c r="R136" t="str">
        <f t="shared" si="18"/>
        <v>HP Stage 1</v>
      </c>
      <c r="S136" t="str">
        <f t="shared" si="19"/>
        <v>Good</v>
      </c>
      <c r="T136" t="str">
        <f t="shared" si="20"/>
        <v>Highly Active</v>
      </c>
    </row>
    <row r="137" spans="1:20" x14ac:dyDescent="0.25">
      <c r="A137">
        <v>136</v>
      </c>
      <c r="B137" t="s">
        <v>13</v>
      </c>
      <c r="C137">
        <v>38</v>
      </c>
      <c r="D137" t="s">
        <v>42</v>
      </c>
      <c r="E137">
        <v>7.3</v>
      </c>
      <c r="F137">
        <v>8</v>
      </c>
      <c r="G137">
        <v>60</v>
      </c>
      <c r="H137">
        <v>5</v>
      </c>
      <c r="I137" t="s">
        <v>19</v>
      </c>
      <c r="J137" t="s">
        <v>45</v>
      </c>
      <c r="K137">
        <v>68</v>
      </c>
      <c r="L137">
        <v>8000</v>
      </c>
      <c r="M137" t="s">
        <v>17</v>
      </c>
      <c r="N137" t="str">
        <f t="shared" si="14"/>
        <v>Adult</v>
      </c>
      <c r="O137" t="str">
        <f t="shared" si="15"/>
        <v>Well Rested</v>
      </c>
      <c r="P137" t="str">
        <f t="shared" si="16"/>
        <v>Moderate</v>
      </c>
      <c r="Q137" t="str">
        <f t="shared" si="17"/>
        <v>Mid</v>
      </c>
      <c r="R137" t="str">
        <f t="shared" si="18"/>
        <v>HP Stage 1</v>
      </c>
      <c r="S137" t="str">
        <f t="shared" si="19"/>
        <v>Good</v>
      </c>
      <c r="T137" t="str">
        <f t="shared" si="20"/>
        <v>Highly Active</v>
      </c>
    </row>
    <row r="138" spans="1:20" x14ac:dyDescent="0.25">
      <c r="A138">
        <v>137</v>
      </c>
      <c r="B138" t="s">
        <v>28</v>
      </c>
      <c r="C138">
        <v>38</v>
      </c>
      <c r="D138" t="s">
        <v>35</v>
      </c>
      <c r="E138">
        <v>7.1</v>
      </c>
      <c r="F138">
        <v>8</v>
      </c>
      <c r="G138">
        <v>60</v>
      </c>
      <c r="H138">
        <v>4</v>
      </c>
      <c r="I138" t="s">
        <v>19</v>
      </c>
      <c r="J138" t="s">
        <v>41</v>
      </c>
      <c r="K138">
        <v>68</v>
      </c>
      <c r="L138">
        <v>7000</v>
      </c>
      <c r="M138" t="s">
        <v>17</v>
      </c>
      <c r="N138" t="str">
        <f t="shared" si="14"/>
        <v>Adult</v>
      </c>
      <c r="O138" t="str">
        <f t="shared" si="15"/>
        <v>Well Rested</v>
      </c>
      <c r="P138" t="str">
        <f t="shared" si="16"/>
        <v>Moderate</v>
      </c>
      <c r="Q138" t="str">
        <f t="shared" si="17"/>
        <v>Low</v>
      </c>
      <c r="R138" t="str">
        <f t="shared" si="18"/>
        <v>Normal</v>
      </c>
      <c r="S138" t="str">
        <f t="shared" si="19"/>
        <v>Good</v>
      </c>
      <c r="T138" t="str">
        <f t="shared" si="20"/>
        <v>Active</v>
      </c>
    </row>
    <row r="139" spans="1:20" x14ac:dyDescent="0.25">
      <c r="A139">
        <v>138</v>
      </c>
      <c r="B139" t="s">
        <v>13</v>
      </c>
      <c r="C139">
        <v>38</v>
      </c>
      <c r="D139" t="s">
        <v>42</v>
      </c>
      <c r="E139">
        <v>7.1</v>
      </c>
      <c r="F139">
        <v>8</v>
      </c>
      <c r="G139">
        <v>60</v>
      </c>
      <c r="H139">
        <v>5</v>
      </c>
      <c r="I139" t="s">
        <v>19</v>
      </c>
      <c r="J139" t="s">
        <v>45</v>
      </c>
      <c r="K139">
        <v>68</v>
      </c>
      <c r="L139">
        <v>8000</v>
      </c>
      <c r="M139" t="s">
        <v>17</v>
      </c>
      <c r="N139" t="str">
        <f t="shared" si="14"/>
        <v>Adult</v>
      </c>
      <c r="O139" t="str">
        <f t="shared" si="15"/>
        <v>Well Rested</v>
      </c>
      <c r="P139" t="str">
        <f t="shared" si="16"/>
        <v>Moderate</v>
      </c>
      <c r="Q139" t="str">
        <f t="shared" si="17"/>
        <v>Mid</v>
      </c>
      <c r="R139" t="str">
        <f t="shared" si="18"/>
        <v>HP Stage 1</v>
      </c>
      <c r="S139" t="str">
        <f t="shared" si="19"/>
        <v>Good</v>
      </c>
      <c r="T139" t="str">
        <f t="shared" si="20"/>
        <v>Highly Active</v>
      </c>
    </row>
    <row r="140" spans="1:20" x14ac:dyDescent="0.25">
      <c r="A140">
        <v>139</v>
      </c>
      <c r="B140" t="s">
        <v>28</v>
      </c>
      <c r="C140">
        <v>38</v>
      </c>
      <c r="D140" t="s">
        <v>35</v>
      </c>
      <c r="E140">
        <v>7.1</v>
      </c>
      <c r="F140">
        <v>8</v>
      </c>
      <c r="G140">
        <v>60</v>
      </c>
      <c r="H140">
        <v>4</v>
      </c>
      <c r="I140" t="s">
        <v>19</v>
      </c>
      <c r="J140" t="s">
        <v>41</v>
      </c>
      <c r="K140">
        <v>68</v>
      </c>
      <c r="L140">
        <v>7000</v>
      </c>
      <c r="M140" t="s">
        <v>17</v>
      </c>
      <c r="N140" t="str">
        <f t="shared" si="14"/>
        <v>Adult</v>
      </c>
      <c r="O140" t="str">
        <f t="shared" si="15"/>
        <v>Well Rested</v>
      </c>
      <c r="P140" t="str">
        <f t="shared" si="16"/>
        <v>Moderate</v>
      </c>
      <c r="Q140" t="str">
        <f t="shared" si="17"/>
        <v>Low</v>
      </c>
      <c r="R140" t="str">
        <f t="shared" si="18"/>
        <v>Normal</v>
      </c>
      <c r="S140" t="str">
        <f t="shared" si="19"/>
        <v>Good</v>
      </c>
      <c r="T140" t="str">
        <f t="shared" si="20"/>
        <v>Active</v>
      </c>
    </row>
    <row r="141" spans="1:20" x14ac:dyDescent="0.25">
      <c r="A141">
        <v>140</v>
      </c>
      <c r="B141" t="s">
        <v>13</v>
      </c>
      <c r="C141">
        <v>38</v>
      </c>
      <c r="D141" t="s">
        <v>42</v>
      </c>
      <c r="E141">
        <v>7.1</v>
      </c>
      <c r="F141">
        <v>8</v>
      </c>
      <c r="G141">
        <v>60</v>
      </c>
      <c r="H141">
        <v>5</v>
      </c>
      <c r="I141" t="s">
        <v>19</v>
      </c>
      <c r="J141" t="s">
        <v>45</v>
      </c>
      <c r="K141">
        <v>68</v>
      </c>
      <c r="L141">
        <v>8000</v>
      </c>
      <c r="M141" t="s">
        <v>17</v>
      </c>
      <c r="N141" t="str">
        <f t="shared" si="14"/>
        <v>Adult</v>
      </c>
      <c r="O141" t="str">
        <f t="shared" si="15"/>
        <v>Well Rested</v>
      </c>
      <c r="P141" t="str">
        <f t="shared" si="16"/>
        <v>Moderate</v>
      </c>
      <c r="Q141" t="str">
        <f t="shared" si="17"/>
        <v>Mid</v>
      </c>
      <c r="R141" t="str">
        <f t="shared" si="18"/>
        <v>HP Stage 1</v>
      </c>
      <c r="S141" t="str">
        <f t="shared" si="19"/>
        <v>Good</v>
      </c>
      <c r="T141" t="str">
        <f t="shared" si="20"/>
        <v>Highly Active</v>
      </c>
    </row>
    <row r="142" spans="1:20" x14ac:dyDescent="0.25">
      <c r="A142">
        <v>141</v>
      </c>
      <c r="B142" t="s">
        <v>28</v>
      </c>
      <c r="C142">
        <v>38</v>
      </c>
      <c r="D142" t="s">
        <v>35</v>
      </c>
      <c r="E142">
        <v>7.1</v>
      </c>
      <c r="F142">
        <v>8</v>
      </c>
      <c r="G142">
        <v>60</v>
      </c>
      <c r="H142">
        <v>4</v>
      </c>
      <c r="I142" t="s">
        <v>19</v>
      </c>
      <c r="J142" t="s">
        <v>41</v>
      </c>
      <c r="K142">
        <v>68</v>
      </c>
      <c r="L142">
        <v>7000</v>
      </c>
      <c r="M142" t="s">
        <v>17</v>
      </c>
      <c r="N142" t="str">
        <f t="shared" si="14"/>
        <v>Adult</v>
      </c>
      <c r="O142" t="str">
        <f t="shared" si="15"/>
        <v>Well Rested</v>
      </c>
      <c r="P142" t="str">
        <f t="shared" si="16"/>
        <v>Moderate</v>
      </c>
      <c r="Q142" t="str">
        <f t="shared" si="17"/>
        <v>Low</v>
      </c>
      <c r="R142" t="str">
        <f t="shared" si="18"/>
        <v>Normal</v>
      </c>
      <c r="S142" t="str">
        <f t="shared" si="19"/>
        <v>Good</v>
      </c>
      <c r="T142" t="str">
        <f t="shared" si="20"/>
        <v>Active</v>
      </c>
    </row>
    <row r="143" spans="1:20" x14ac:dyDescent="0.25">
      <c r="A143">
        <v>142</v>
      </c>
      <c r="B143" t="s">
        <v>13</v>
      </c>
      <c r="C143">
        <v>38</v>
      </c>
      <c r="D143" t="s">
        <v>42</v>
      </c>
      <c r="E143">
        <v>7.1</v>
      </c>
      <c r="F143">
        <v>8</v>
      </c>
      <c r="G143">
        <v>60</v>
      </c>
      <c r="H143">
        <v>5</v>
      </c>
      <c r="I143" t="s">
        <v>19</v>
      </c>
      <c r="J143" t="s">
        <v>45</v>
      </c>
      <c r="K143">
        <v>68</v>
      </c>
      <c r="L143">
        <v>8000</v>
      </c>
      <c r="M143" t="s">
        <v>17</v>
      </c>
      <c r="N143" t="str">
        <f t="shared" si="14"/>
        <v>Adult</v>
      </c>
      <c r="O143" t="str">
        <f t="shared" si="15"/>
        <v>Well Rested</v>
      </c>
      <c r="P143" t="str">
        <f t="shared" si="16"/>
        <v>Moderate</v>
      </c>
      <c r="Q143" t="str">
        <f t="shared" si="17"/>
        <v>Mid</v>
      </c>
      <c r="R143" t="str">
        <f t="shared" si="18"/>
        <v>HP Stage 1</v>
      </c>
      <c r="S143" t="str">
        <f t="shared" si="19"/>
        <v>Good</v>
      </c>
      <c r="T143" t="str">
        <f t="shared" si="20"/>
        <v>Highly Active</v>
      </c>
    </row>
    <row r="144" spans="1:20" x14ac:dyDescent="0.25">
      <c r="A144">
        <v>143</v>
      </c>
      <c r="B144" t="s">
        <v>28</v>
      </c>
      <c r="C144">
        <v>38</v>
      </c>
      <c r="D144" t="s">
        <v>35</v>
      </c>
      <c r="E144">
        <v>7.1</v>
      </c>
      <c r="F144">
        <v>8</v>
      </c>
      <c r="G144">
        <v>60</v>
      </c>
      <c r="H144">
        <v>4</v>
      </c>
      <c r="I144" t="s">
        <v>19</v>
      </c>
      <c r="J144" t="s">
        <v>41</v>
      </c>
      <c r="K144">
        <v>68</v>
      </c>
      <c r="L144">
        <v>7000</v>
      </c>
      <c r="M144" t="s">
        <v>17</v>
      </c>
      <c r="N144" t="str">
        <f t="shared" si="14"/>
        <v>Adult</v>
      </c>
      <c r="O144" t="str">
        <f t="shared" si="15"/>
        <v>Well Rested</v>
      </c>
      <c r="P144" t="str">
        <f t="shared" si="16"/>
        <v>Moderate</v>
      </c>
      <c r="Q144" t="str">
        <f t="shared" si="17"/>
        <v>Low</v>
      </c>
      <c r="R144" t="str">
        <f t="shared" si="18"/>
        <v>Normal</v>
      </c>
      <c r="S144" t="str">
        <f t="shared" si="19"/>
        <v>Good</v>
      </c>
      <c r="T144" t="str">
        <f t="shared" si="20"/>
        <v>Active</v>
      </c>
    </row>
    <row r="145" spans="1:20" x14ac:dyDescent="0.25">
      <c r="A145">
        <v>144</v>
      </c>
      <c r="B145" t="s">
        <v>28</v>
      </c>
      <c r="C145">
        <v>38</v>
      </c>
      <c r="D145" t="s">
        <v>35</v>
      </c>
      <c r="E145">
        <v>7.1</v>
      </c>
      <c r="F145">
        <v>8</v>
      </c>
      <c r="G145">
        <v>60</v>
      </c>
      <c r="H145">
        <v>4</v>
      </c>
      <c r="I145" t="s">
        <v>19</v>
      </c>
      <c r="J145" t="s">
        <v>41</v>
      </c>
      <c r="K145">
        <v>68</v>
      </c>
      <c r="L145">
        <v>7000</v>
      </c>
      <c r="M145" t="s">
        <v>17</v>
      </c>
      <c r="N145" t="str">
        <f t="shared" si="14"/>
        <v>Adult</v>
      </c>
      <c r="O145" t="str">
        <f t="shared" si="15"/>
        <v>Well Rested</v>
      </c>
      <c r="P145" t="str">
        <f t="shared" si="16"/>
        <v>Moderate</v>
      </c>
      <c r="Q145" t="str">
        <f t="shared" si="17"/>
        <v>Low</v>
      </c>
      <c r="R145" t="str">
        <f t="shared" si="18"/>
        <v>Normal</v>
      </c>
      <c r="S145" t="str">
        <f t="shared" si="19"/>
        <v>Good</v>
      </c>
      <c r="T145" t="str">
        <f t="shared" si="20"/>
        <v>Active</v>
      </c>
    </row>
    <row r="146" spans="1:20" x14ac:dyDescent="0.25">
      <c r="A146">
        <v>145</v>
      </c>
      <c r="B146" t="s">
        <v>13</v>
      </c>
      <c r="C146">
        <v>38</v>
      </c>
      <c r="D146" t="s">
        <v>42</v>
      </c>
      <c r="E146">
        <v>7.1</v>
      </c>
      <c r="F146">
        <v>8</v>
      </c>
      <c r="G146">
        <v>60</v>
      </c>
      <c r="H146">
        <v>5</v>
      </c>
      <c r="I146" t="s">
        <v>19</v>
      </c>
      <c r="J146" t="s">
        <v>45</v>
      </c>
      <c r="K146">
        <v>68</v>
      </c>
      <c r="L146">
        <v>8000</v>
      </c>
      <c r="M146" t="s">
        <v>24</v>
      </c>
      <c r="N146" t="str">
        <f t="shared" si="14"/>
        <v>Adult</v>
      </c>
      <c r="O146" t="str">
        <f t="shared" si="15"/>
        <v>Well Rested</v>
      </c>
      <c r="P146" t="str">
        <f t="shared" si="16"/>
        <v>Moderate</v>
      </c>
      <c r="Q146" t="str">
        <f t="shared" si="17"/>
        <v>Mid</v>
      </c>
      <c r="R146" t="str">
        <f t="shared" si="18"/>
        <v>HP Stage 1</v>
      </c>
      <c r="S146" t="str">
        <f t="shared" si="19"/>
        <v>Good</v>
      </c>
      <c r="T146" t="str">
        <f t="shared" si="20"/>
        <v>Highly Active</v>
      </c>
    </row>
    <row r="147" spans="1:20" x14ac:dyDescent="0.25">
      <c r="A147">
        <v>146</v>
      </c>
      <c r="B147" t="s">
        <v>28</v>
      </c>
      <c r="C147">
        <v>38</v>
      </c>
      <c r="D147" t="s">
        <v>42</v>
      </c>
      <c r="E147">
        <v>7.4</v>
      </c>
      <c r="F147">
        <v>7</v>
      </c>
      <c r="G147">
        <v>60</v>
      </c>
      <c r="H147">
        <v>5</v>
      </c>
      <c r="I147" t="s">
        <v>22</v>
      </c>
      <c r="J147" t="s">
        <v>43</v>
      </c>
      <c r="K147">
        <v>84</v>
      </c>
      <c r="L147">
        <v>3300</v>
      </c>
      <c r="M147" t="s">
        <v>24</v>
      </c>
      <c r="N147" t="str">
        <f t="shared" si="14"/>
        <v>Adult</v>
      </c>
      <c r="O147" t="str">
        <f t="shared" si="15"/>
        <v>Good Sleep</v>
      </c>
      <c r="P147" t="str">
        <f t="shared" si="16"/>
        <v>Moderate</v>
      </c>
      <c r="Q147" t="str">
        <f t="shared" si="17"/>
        <v>Mid</v>
      </c>
      <c r="R147" t="str">
        <f t="shared" si="18"/>
        <v>HP Stage 1</v>
      </c>
      <c r="S147" t="str">
        <f t="shared" si="19"/>
        <v>Poor</v>
      </c>
      <c r="T147" t="str">
        <f t="shared" si="20"/>
        <v>Sedentary</v>
      </c>
    </row>
    <row r="148" spans="1:20" x14ac:dyDescent="0.25">
      <c r="A148">
        <v>147</v>
      </c>
      <c r="B148" t="s">
        <v>13</v>
      </c>
      <c r="C148">
        <v>39</v>
      </c>
      <c r="D148" t="s">
        <v>42</v>
      </c>
      <c r="E148">
        <v>7.2</v>
      </c>
      <c r="F148">
        <v>8</v>
      </c>
      <c r="G148">
        <v>60</v>
      </c>
      <c r="H148">
        <v>5</v>
      </c>
      <c r="I148" t="s">
        <v>19</v>
      </c>
      <c r="J148" t="s">
        <v>45</v>
      </c>
      <c r="K148">
        <v>68</v>
      </c>
      <c r="L148">
        <v>8000</v>
      </c>
      <c r="M148" t="s">
        <v>25</v>
      </c>
      <c r="N148" t="str">
        <f t="shared" si="14"/>
        <v>Adult</v>
      </c>
      <c r="O148" t="str">
        <f t="shared" si="15"/>
        <v>Well Rested</v>
      </c>
      <c r="P148" t="str">
        <f t="shared" si="16"/>
        <v>Moderate</v>
      </c>
      <c r="Q148" t="str">
        <f t="shared" si="17"/>
        <v>Mid</v>
      </c>
      <c r="R148" t="str">
        <f t="shared" si="18"/>
        <v>HP Stage 1</v>
      </c>
      <c r="S148" t="str">
        <f t="shared" si="19"/>
        <v>Good</v>
      </c>
      <c r="T148" t="str">
        <f t="shared" si="20"/>
        <v>Highly Active</v>
      </c>
    </row>
    <row r="149" spans="1:20" x14ac:dyDescent="0.25">
      <c r="A149">
        <v>148</v>
      </c>
      <c r="B149" t="s">
        <v>13</v>
      </c>
      <c r="C149">
        <v>39</v>
      </c>
      <c r="D149" t="s">
        <v>34</v>
      </c>
      <c r="E149">
        <v>6.5</v>
      </c>
      <c r="F149">
        <v>5</v>
      </c>
      <c r="G149">
        <v>40</v>
      </c>
      <c r="H149">
        <v>7</v>
      </c>
      <c r="I149" t="s">
        <v>15</v>
      </c>
      <c r="J149" t="s">
        <v>31</v>
      </c>
      <c r="K149">
        <v>80</v>
      </c>
      <c r="L149">
        <v>4000</v>
      </c>
      <c r="M149" t="s">
        <v>25</v>
      </c>
      <c r="N149" t="str">
        <f t="shared" si="14"/>
        <v>Adult</v>
      </c>
      <c r="O149" t="str">
        <f t="shared" si="15"/>
        <v>Need more sleep</v>
      </c>
      <c r="P149" t="str">
        <f t="shared" si="16"/>
        <v>Not Good Enough</v>
      </c>
      <c r="Q149" t="str">
        <f t="shared" si="17"/>
        <v>High</v>
      </c>
      <c r="R149" t="str">
        <f t="shared" si="18"/>
        <v>HP Stage 1</v>
      </c>
      <c r="S149" t="str">
        <f t="shared" si="19"/>
        <v>Poor</v>
      </c>
      <c r="T149" t="str">
        <f t="shared" si="20"/>
        <v>Low Active</v>
      </c>
    </row>
    <row r="150" spans="1:20" x14ac:dyDescent="0.25">
      <c r="A150">
        <v>149</v>
      </c>
      <c r="B150" t="s">
        <v>28</v>
      </c>
      <c r="C150">
        <v>39</v>
      </c>
      <c r="D150" t="s">
        <v>42</v>
      </c>
      <c r="E150">
        <v>6.9</v>
      </c>
      <c r="F150">
        <v>7</v>
      </c>
      <c r="G150">
        <v>50</v>
      </c>
      <c r="H150">
        <v>6</v>
      </c>
      <c r="I150" t="s">
        <v>30</v>
      </c>
      <c r="J150" t="s">
        <v>38</v>
      </c>
      <c r="K150">
        <v>75</v>
      </c>
      <c r="L150">
        <v>5500</v>
      </c>
      <c r="M150" t="s">
        <v>17</v>
      </c>
      <c r="N150" t="str">
        <f t="shared" si="14"/>
        <v>Adult</v>
      </c>
      <c r="O150" t="str">
        <f t="shared" si="15"/>
        <v>Good Sleep</v>
      </c>
      <c r="P150" t="str">
        <f t="shared" si="16"/>
        <v>Moderate</v>
      </c>
      <c r="Q150" t="str">
        <f t="shared" si="17"/>
        <v>Mid</v>
      </c>
      <c r="R150" t="str">
        <f t="shared" si="18"/>
        <v>Elevated</v>
      </c>
      <c r="S150" t="str">
        <f t="shared" si="19"/>
        <v>Below Average</v>
      </c>
      <c r="T150" t="str">
        <f t="shared" si="20"/>
        <v>Low Active</v>
      </c>
    </row>
    <row r="151" spans="1:20" x14ac:dyDescent="0.25">
      <c r="A151">
        <v>150</v>
      </c>
      <c r="B151" t="s">
        <v>28</v>
      </c>
      <c r="C151">
        <v>39</v>
      </c>
      <c r="D151" t="s">
        <v>35</v>
      </c>
      <c r="E151">
        <v>8</v>
      </c>
      <c r="F151">
        <v>9</v>
      </c>
      <c r="G151">
        <v>80</v>
      </c>
      <c r="H151">
        <v>3</v>
      </c>
      <c r="I151" t="s">
        <v>30</v>
      </c>
      <c r="J151" t="s">
        <v>46</v>
      </c>
      <c r="K151">
        <v>67</v>
      </c>
      <c r="L151">
        <v>7500</v>
      </c>
      <c r="M151" t="s">
        <v>17</v>
      </c>
      <c r="N151" t="str">
        <f t="shared" si="14"/>
        <v>Adult</v>
      </c>
      <c r="O151" t="str">
        <f t="shared" si="15"/>
        <v>Well Rested</v>
      </c>
      <c r="P151" t="str">
        <f t="shared" si="16"/>
        <v>Very High</v>
      </c>
      <c r="Q151" t="str">
        <f t="shared" si="17"/>
        <v>Low</v>
      </c>
      <c r="R151" t="str">
        <f t="shared" si="18"/>
        <v>Normal</v>
      </c>
      <c r="S151" t="str">
        <f t="shared" si="19"/>
        <v>Good</v>
      </c>
      <c r="T151" t="str">
        <f t="shared" si="20"/>
        <v>Active</v>
      </c>
    </row>
    <row r="152" spans="1:20" x14ac:dyDescent="0.25">
      <c r="A152">
        <v>151</v>
      </c>
      <c r="B152" t="s">
        <v>28</v>
      </c>
      <c r="C152">
        <v>39</v>
      </c>
      <c r="D152" t="s">
        <v>35</v>
      </c>
      <c r="E152">
        <v>8</v>
      </c>
      <c r="F152">
        <v>9</v>
      </c>
      <c r="G152">
        <v>80</v>
      </c>
      <c r="H152">
        <v>3</v>
      </c>
      <c r="I152" t="s">
        <v>30</v>
      </c>
      <c r="J152" t="s">
        <v>46</v>
      </c>
      <c r="K152">
        <v>67</v>
      </c>
      <c r="L152">
        <v>7500</v>
      </c>
      <c r="M152" t="s">
        <v>17</v>
      </c>
      <c r="N152" t="str">
        <f t="shared" si="14"/>
        <v>Adult</v>
      </c>
      <c r="O152" t="str">
        <f t="shared" si="15"/>
        <v>Well Rested</v>
      </c>
      <c r="P152" t="str">
        <f t="shared" si="16"/>
        <v>Very High</v>
      </c>
      <c r="Q152" t="str">
        <f t="shared" si="17"/>
        <v>Low</v>
      </c>
      <c r="R152" t="str">
        <f t="shared" si="18"/>
        <v>Normal</v>
      </c>
      <c r="S152" t="str">
        <f t="shared" si="19"/>
        <v>Good</v>
      </c>
      <c r="T152" t="str">
        <f t="shared" si="20"/>
        <v>Active</v>
      </c>
    </row>
    <row r="153" spans="1:20" x14ac:dyDescent="0.25">
      <c r="A153">
        <v>152</v>
      </c>
      <c r="B153" t="s">
        <v>13</v>
      </c>
      <c r="C153">
        <v>39</v>
      </c>
      <c r="D153" t="s">
        <v>42</v>
      </c>
      <c r="E153">
        <v>7.2</v>
      </c>
      <c r="F153">
        <v>8</v>
      </c>
      <c r="G153">
        <v>60</v>
      </c>
      <c r="H153">
        <v>5</v>
      </c>
      <c r="I153" t="s">
        <v>19</v>
      </c>
      <c r="J153" t="s">
        <v>45</v>
      </c>
      <c r="K153">
        <v>68</v>
      </c>
      <c r="L153">
        <v>8000</v>
      </c>
      <c r="M153" t="s">
        <v>17</v>
      </c>
      <c r="N153" t="str">
        <f t="shared" si="14"/>
        <v>Adult</v>
      </c>
      <c r="O153" t="str">
        <f t="shared" si="15"/>
        <v>Well Rested</v>
      </c>
      <c r="P153" t="str">
        <f t="shared" si="16"/>
        <v>Moderate</v>
      </c>
      <c r="Q153" t="str">
        <f t="shared" si="17"/>
        <v>Mid</v>
      </c>
      <c r="R153" t="str">
        <f t="shared" si="18"/>
        <v>HP Stage 1</v>
      </c>
      <c r="S153" t="str">
        <f t="shared" si="19"/>
        <v>Good</v>
      </c>
      <c r="T153" t="str">
        <f t="shared" si="20"/>
        <v>Highly Active</v>
      </c>
    </row>
    <row r="154" spans="1:20" x14ac:dyDescent="0.25">
      <c r="A154">
        <v>153</v>
      </c>
      <c r="B154" t="s">
        <v>13</v>
      </c>
      <c r="C154">
        <v>39</v>
      </c>
      <c r="D154" t="s">
        <v>42</v>
      </c>
      <c r="E154">
        <v>7.2</v>
      </c>
      <c r="F154">
        <v>8</v>
      </c>
      <c r="G154">
        <v>60</v>
      </c>
      <c r="H154">
        <v>5</v>
      </c>
      <c r="I154" t="s">
        <v>19</v>
      </c>
      <c r="J154" t="s">
        <v>45</v>
      </c>
      <c r="K154">
        <v>68</v>
      </c>
      <c r="L154">
        <v>8000</v>
      </c>
      <c r="M154" t="s">
        <v>17</v>
      </c>
      <c r="N154" t="str">
        <f t="shared" si="14"/>
        <v>Adult</v>
      </c>
      <c r="O154" t="str">
        <f t="shared" si="15"/>
        <v>Well Rested</v>
      </c>
      <c r="P154" t="str">
        <f t="shared" si="16"/>
        <v>Moderate</v>
      </c>
      <c r="Q154" t="str">
        <f t="shared" si="17"/>
        <v>Mid</v>
      </c>
      <c r="R154" t="str">
        <f t="shared" si="18"/>
        <v>HP Stage 1</v>
      </c>
      <c r="S154" t="str">
        <f t="shared" si="19"/>
        <v>Good</v>
      </c>
      <c r="T154" t="str">
        <f t="shared" si="20"/>
        <v>Highly Active</v>
      </c>
    </row>
    <row r="155" spans="1:20" x14ac:dyDescent="0.25">
      <c r="A155">
        <v>154</v>
      </c>
      <c r="B155" t="s">
        <v>13</v>
      </c>
      <c r="C155">
        <v>39</v>
      </c>
      <c r="D155" t="s">
        <v>42</v>
      </c>
      <c r="E155">
        <v>7.2</v>
      </c>
      <c r="F155">
        <v>8</v>
      </c>
      <c r="G155">
        <v>60</v>
      </c>
      <c r="H155">
        <v>5</v>
      </c>
      <c r="I155" t="s">
        <v>19</v>
      </c>
      <c r="J155" t="s">
        <v>45</v>
      </c>
      <c r="K155">
        <v>68</v>
      </c>
      <c r="L155">
        <v>8000</v>
      </c>
      <c r="M155" t="s">
        <v>17</v>
      </c>
      <c r="N155" t="str">
        <f t="shared" si="14"/>
        <v>Adult</v>
      </c>
      <c r="O155" t="str">
        <f t="shared" si="15"/>
        <v>Well Rested</v>
      </c>
      <c r="P155" t="str">
        <f t="shared" si="16"/>
        <v>Moderate</v>
      </c>
      <c r="Q155" t="str">
        <f t="shared" si="17"/>
        <v>Mid</v>
      </c>
      <c r="R155" t="str">
        <f t="shared" si="18"/>
        <v>HP Stage 1</v>
      </c>
      <c r="S155" t="str">
        <f t="shared" si="19"/>
        <v>Good</v>
      </c>
      <c r="T155" t="str">
        <f t="shared" si="20"/>
        <v>Highly Active</v>
      </c>
    </row>
    <row r="156" spans="1:20" x14ac:dyDescent="0.25">
      <c r="A156">
        <v>155</v>
      </c>
      <c r="B156" t="s">
        <v>13</v>
      </c>
      <c r="C156">
        <v>39</v>
      </c>
      <c r="D156" t="s">
        <v>42</v>
      </c>
      <c r="E156">
        <v>7.2</v>
      </c>
      <c r="F156">
        <v>8</v>
      </c>
      <c r="G156">
        <v>60</v>
      </c>
      <c r="H156">
        <v>5</v>
      </c>
      <c r="I156" t="s">
        <v>19</v>
      </c>
      <c r="J156" t="s">
        <v>45</v>
      </c>
      <c r="K156">
        <v>68</v>
      </c>
      <c r="L156">
        <v>8000</v>
      </c>
      <c r="M156" t="s">
        <v>17</v>
      </c>
      <c r="N156" t="str">
        <f t="shared" si="14"/>
        <v>Adult</v>
      </c>
      <c r="O156" t="str">
        <f t="shared" si="15"/>
        <v>Well Rested</v>
      </c>
      <c r="P156" t="str">
        <f t="shared" si="16"/>
        <v>Moderate</v>
      </c>
      <c r="Q156" t="str">
        <f t="shared" si="17"/>
        <v>Mid</v>
      </c>
      <c r="R156" t="str">
        <f t="shared" si="18"/>
        <v>HP Stage 1</v>
      </c>
      <c r="S156" t="str">
        <f t="shared" si="19"/>
        <v>Good</v>
      </c>
      <c r="T156" t="str">
        <f t="shared" si="20"/>
        <v>Highly Active</v>
      </c>
    </row>
    <row r="157" spans="1:20" x14ac:dyDescent="0.25">
      <c r="A157">
        <v>156</v>
      </c>
      <c r="B157" t="s">
        <v>13</v>
      </c>
      <c r="C157">
        <v>39</v>
      </c>
      <c r="D157" t="s">
        <v>42</v>
      </c>
      <c r="E157">
        <v>7.2</v>
      </c>
      <c r="F157">
        <v>8</v>
      </c>
      <c r="G157">
        <v>60</v>
      </c>
      <c r="H157">
        <v>5</v>
      </c>
      <c r="I157" t="s">
        <v>19</v>
      </c>
      <c r="J157" t="s">
        <v>45</v>
      </c>
      <c r="K157">
        <v>68</v>
      </c>
      <c r="L157">
        <v>8000</v>
      </c>
      <c r="M157" t="s">
        <v>17</v>
      </c>
      <c r="N157" t="str">
        <f t="shared" si="14"/>
        <v>Adult</v>
      </c>
      <c r="O157" t="str">
        <f t="shared" si="15"/>
        <v>Well Rested</v>
      </c>
      <c r="P157" t="str">
        <f t="shared" si="16"/>
        <v>Moderate</v>
      </c>
      <c r="Q157" t="str">
        <f t="shared" si="17"/>
        <v>Mid</v>
      </c>
      <c r="R157" t="str">
        <f t="shared" si="18"/>
        <v>HP Stage 1</v>
      </c>
      <c r="S157" t="str">
        <f t="shared" si="19"/>
        <v>Good</v>
      </c>
      <c r="T157" t="str">
        <f t="shared" si="20"/>
        <v>Highly Active</v>
      </c>
    </row>
    <row r="158" spans="1:20" x14ac:dyDescent="0.25">
      <c r="A158">
        <v>157</v>
      </c>
      <c r="B158" t="s">
        <v>13</v>
      </c>
      <c r="C158">
        <v>39</v>
      </c>
      <c r="D158" t="s">
        <v>42</v>
      </c>
      <c r="E158">
        <v>7.2</v>
      </c>
      <c r="F158">
        <v>8</v>
      </c>
      <c r="G158">
        <v>60</v>
      </c>
      <c r="H158">
        <v>5</v>
      </c>
      <c r="I158" t="s">
        <v>19</v>
      </c>
      <c r="J158" t="s">
        <v>45</v>
      </c>
      <c r="K158">
        <v>68</v>
      </c>
      <c r="L158">
        <v>8000</v>
      </c>
      <c r="M158" t="s">
        <v>17</v>
      </c>
      <c r="N158" t="str">
        <f t="shared" si="14"/>
        <v>Adult</v>
      </c>
      <c r="O158" t="str">
        <f t="shared" si="15"/>
        <v>Well Rested</v>
      </c>
      <c r="P158" t="str">
        <f t="shared" si="16"/>
        <v>Moderate</v>
      </c>
      <c r="Q158" t="str">
        <f t="shared" si="17"/>
        <v>Mid</v>
      </c>
      <c r="R158" t="str">
        <f t="shared" si="18"/>
        <v>HP Stage 1</v>
      </c>
      <c r="S158" t="str">
        <f t="shared" si="19"/>
        <v>Good</v>
      </c>
      <c r="T158" t="str">
        <f t="shared" si="20"/>
        <v>Highly Active</v>
      </c>
    </row>
    <row r="159" spans="1:20" x14ac:dyDescent="0.25">
      <c r="A159">
        <v>158</v>
      </c>
      <c r="B159" t="s">
        <v>13</v>
      </c>
      <c r="C159">
        <v>39</v>
      </c>
      <c r="D159" t="s">
        <v>42</v>
      </c>
      <c r="E159">
        <v>7.2</v>
      </c>
      <c r="F159">
        <v>8</v>
      </c>
      <c r="G159">
        <v>60</v>
      </c>
      <c r="H159">
        <v>5</v>
      </c>
      <c r="I159" t="s">
        <v>19</v>
      </c>
      <c r="J159" t="s">
        <v>45</v>
      </c>
      <c r="K159">
        <v>68</v>
      </c>
      <c r="L159">
        <v>8000</v>
      </c>
      <c r="M159" t="s">
        <v>17</v>
      </c>
      <c r="N159" t="str">
        <f t="shared" si="14"/>
        <v>Adult</v>
      </c>
      <c r="O159" t="str">
        <f t="shared" si="15"/>
        <v>Well Rested</v>
      </c>
      <c r="P159" t="str">
        <f t="shared" si="16"/>
        <v>Moderate</v>
      </c>
      <c r="Q159" t="str">
        <f t="shared" si="17"/>
        <v>Mid</v>
      </c>
      <c r="R159" t="str">
        <f t="shared" si="18"/>
        <v>HP Stage 1</v>
      </c>
      <c r="S159" t="str">
        <f t="shared" si="19"/>
        <v>Good</v>
      </c>
      <c r="T159" t="str">
        <f t="shared" si="20"/>
        <v>Highly Active</v>
      </c>
    </row>
    <row r="160" spans="1:20" x14ac:dyDescent="0.25">
      <c r="A160">
        <v>159</v>
      </c>
      <c r="B160" t="s">
        <v>13</v>
      </c>
      <c r="C160">
        <v>39</v>
      </c>
      <c r="D160" t="s">
        <v>42</v>
      </c>
      <c r="E160">
        <v>7.2</v>
      </c>
      <c r="F160">
        <v>8</v>
      </c>
      <c r="G160">
        <v>60</v>
      </c>
      <c r="H160">
        <v>5</v>
      </c>
      <c r="I160" t="s">
        <v>19</v>
      </c>
      <c r="J160" t="s">
        <v>45</v>
      </c>
      <c r="K160">
        <v>68</v>
      </c>
      <c r="L160">
        <v>8000</v>
      </c>
      <c r="M160" t="s">
        <v>17</v>
      </c>
      <c r="N160" t="str">
        <f t="shared" si="14"/>
        <v>Adult</v>
      </c>
      <c r="O160" t="str">
        <f t="shared" si="15"/>
        <v>Well Rested</v>
      </c>
      <c r="P160" t="str">
        <f t="shared" si="16"/>
        <v>Moderate</v>
      </c>
      <c r="Q160" t="str">
        <f t="shared" si="17"/>
        <v>Mid</v>
      </c>
      <c r="R160" t="str">
        <f t="shared" si="18"/>
        <v>HP Stage 1</v>
      </c>
      <c r="S160" t="str">
        <f t="shared" si="19"/>
        <v>Good</v>
      </c>
      <c r="T160" t="str">
        <f t="shared" si="20"/>
        <v>Highly Active</v>
      </c>
    </row>
    <row r="161" spans="1:20" x14ac:dyDescent="0.25">
      <c r="A161">
        <v>160</v>
      </c>
      <c r="B161" t="s">
        <v>13</v>
      </c>
      <c r="C161">
        <v>39</v>
      </c>
      <c r="D161" t="s">
        <v>42</v>
      </c>
      <c r="E161">
        <v>7.2</v>
      </c>
      <c r="F161">
        <v>8</v>
      </c>
      <c r="G161">
        <v>60</v>
      </c>
      <c r="H161">
        <v>5</v>
      </c>
      <c r="I161" t="s">
        <v>19</v>
      </c>
      <c r="J161" t="s">
        <v>45</v>
      </c>
      <c r="K161">
        <v>68</v>
      </c>
      <c r="L161">
        <v>8000</v>
      </c>
      <c r="M161" t="s">
        <v>17</v>
      </c>
      <c r="N161" t="str">
        <f t="shared" si="14"/>
        <v>Adult</v>
      </c>
      <c r="O161" t="str">
        <f t="shared" si="15"/>
        <v>Well Rested</v>
      </c>
      <c r="P161" t="str">
        <f t="shared" si="16"/>
        <v>Moderate</v>
      </c>
      <c r="Q161" t="str">
        <f t="shared" si="17"/>
        <v>Mid</v>
      </c>
      <c r="R161" t="str">
        <f t="shared" si="18"/>
        <v>HP Stage 1</v>
      </c>
      <c r="S161" t="str">
        <f t="shared" si="19"/>
        <v>Good</v>
      </c>
      <c r="T161" t="str">
        <f t="shared" si="20"/>
        <v>Highly Active</v>
      </c>
    </row>
    <row r="162" spans="1:20" x14ac:dyDescent="0.25">
      <c r="A162">
        <v>161</v>
      </c>
      <c r="B162" t="s">
        <v>13</v>
      </c>
      <c r="C162">
        <v>39</v>
      </c>
      <c r="D162" t="s">
        <v>42</v>
      </c>
      <c r="E162">
        <v>7.2</v>
      </c>
      <c r="F162">
        <v>8</v>
      </c>
      <c r="G162">
        <v>60</v>
      </c>
      <c r="H162">
        <v>5</v>
      </c>
      <c r="I162" t="s">
        <v>19</v>
      </c>
      <c r="J162" t="s">
        <v>45</v>
      </c>
      <c r="K162">
        <v>68</v>
      </c>
      <c r="L162">
        <v>8000</v>
      </c>
      <c r="M162" t="s">
        <v>17</v>
      </c>
      <c r="N162" t="str">
        <f t="shared" si="14"/>
        <v>Adult</v>
      </c>
      <c r="O162" t="str">
        <f t="shared" si="15"/>
        <v>Well Rested</v>
      </c>
      <c r="P162" t="str">
        <f t="shared" si="16"/>
        <v>Moderate</v>
      </c>
      <c r="Q162" t="str">
        <f t="shared" si="17"/>
        <v>Mid</v>
      </c>
      <c r="R162" t="str">
        <f t="shared" si="18"/>
        <v>HP Stage 1</v>
      </c>
      <c r="S162" t="str">
        <f t="shared" si="19"/>
        <v>Good</v>
      </c>
      <c r="T162" t="str">
        <f t="shared" si="20"/>
        <v>Highly Active</v>
      </c>
    </row>
    <row r="163" spans="1:20" x14ac:dyDescent="0.25">
      <c r="A163">
        <v>162</v>
      </c>
      <c r="B163" t="s">
        <v>28</v>
      </c>
      <c r="C163">
        <v>40</v>
      </c>
      <c r="D163" t="s">
        <v>35</v>
      </c>
      <c r="E163">
        <v>7.2</v>
      </c>
      <c r="F163">
        <v>8</v>
      </c>
      <c r="G163">
        <v>55</v>
      </c>
      <c r="H163">
        <v>6</v>
      </c>
      <c r="I163" t="s">
        <v>30</v>
      </c>
      <c r="J163" t="s">
        <v>47</v>
      </c>
      <c r="K163">
        <v>73</v>
      </c>
      <c r="L163">
        <v>7300</v>
      </c>
      <c r="M163" t="s">
        <v>17</v>
      </c>
      <c r="N163" t="str">
        <f t="shared" si="14"/>
        <v>Adult</v>
      </c>
      <c r="O163" t="str">
        <f t="shared" si="15"/>
        <v>Well Rested</v>
      </c>
      <c r="P163" t="str">
        <f t="shared" si="16"/>
        <v>Moderate</v>
      </c>
      <c r="Q163" t="str">
        <f t="shared" si="17"/>
        <v>Mid</v>
      </c>
      <c r="R163" t="str">
        <f t="shared" si="18"/>
        <v>Normal</v>
      </c>
      <c r="S163" t="str">
        <f t="shared" si="19"/>
        <v>Average</v>
      </c>
      <c r="T163" t="str">
        <f t="shared" si="20"/>
        <v>Active</v>
      </c>
    </row>
    <row r="164" spans="1:20" x14ac:dyDescent="0.25">
      <c r="A164">
        <v>163</v>
      </c>
      <c r="B164" t="s">
        <v>28</v>
      </c>
      <c r="C164">
        <v>40</v>
      </c>
      <c r="D164" t="s">
        <v>35</v>
      </c>
      <c r="E164">
        <v>7.2</v>
      </c>
      <c r="F164">
        <v>8</v>
      </c>
      <c r="G164">
        <v>55</v>
      </c>
      <c r="H164">
        <v>6</v>
      </c>
      <c r="I164" t="s">
        <v>30</v>
      </c>
      <c r="J164" t="s">
        <v>47</v>
      </c>
      <c r="K164">
        <v>73</v>
      </c>
      <c r="L164">
        <v>7300</v>
      </c>
      <c r="M164" t="s">
        <v>17</v>
      </c>
      <c r="N164" t="str">
        <f t="shared" si="14"/>
        <v>Adult</v>
      </c>
      <c r="O164" t="str">
        <f t="shared" si="15"/>
        <v>Well Rested</v>
      </c>
      <c r="P164" t="str">
        <f t="shared" si="16"/>
        <v>Moderate</v>
      </c>
      <c r="Q164" t="str">
        <f t="shared" si="17"/>
        <v>Mid</v>
      </c>
      <c r="R164" t="str">
        <f t="shared" si="18"/>
        <v>Normal</v>
      </c>
      <c r="S164" t="str">
        <f t="shared" si="19"/>
        <v>Average</v>
      </c>
      <c r="T164" t="str">
        <f t="shared" si="20"/>
        <v>Active</v>
      </c>
    </row>
    <row r="165" spans="1:20" x14ac:dyDescent="0.25">
      <c r="A165">
        <v>164</v>
      </c>
      <c r="B165" t="s">
        <v>13</v>
      </c>
      <c r="C165">
        <v>40</v>
      </c>
      <c r="D165" t="s">
        <v>42</v>
      </c>
      <c r="E165">
        <v>7.9</v>
      </c>
      <c r="F165">
        <v>8</v>
      </c>
      <c r="G165">
        <v>90</v>
      </c>
      <c r="H165">
        <v>5</v>
      </c>
      <c r="I165" t="s">
        <v>19</v>
      </c>
      <c r="J165" t="s">
        <v>45</v>
      </c>
      <c r="K165">
        <v>68</v>
      </c>
      <c r="L165">
        <v>8000</v>
      </c>
      <c r="M165" t="s">
        <v>17</v>
      </c>
      <c r="N165" t="str">
        <f t="shared" si="14"/>
        <v>Adult</v>
      </c>
      <c r="O165" t="str">
        <f t="shared" si="15"/>
        <v>Well Rested</v>
      </c>
      <c r="P165" t="str">
        <f t="shared" si="16"/>
        <v>Very High</v>
      </c>
      <c r="Q165" t="str">
        <f t="shared" si="17"/>
        <v>Mid</v>
      </c>
      <c r="R165" t="str">
        <f t="shared" si="18"/>
        <v>HP Stage 1</v>
      </c>
      <c r="S165" t="str">
        <f t="shared" si="19"/>
        <v>Good</v>
      </c>
      <c r="T165" t="str">
        <f t="shared" si="20"/>
        <v>Highly Active</v>
      </c>
    </row>
    <row r="166" spans="1:20" x14ac:dyDescent="0.25">
      <c r="A166">
        <v>165</v>
      </c>
      <c r="B166" t="s">
        <v>13</v>
      </c>
      <c r="C166">
        <v>40</v>
      </c>
      <c r="D166" t="s">
        <v>42</v>
      </c>
      <c r="E166">
        <v>7.9</v>
      </c>
      <c r="F166">
        <v>8</v>
      </c>
      <c r="G166">
        <v>90</v>
      </c>
      <c r="H166">
        <v>5</v>
      </c>
      <c r="I166" t="s">
        <v>19</v>
      </c>
      <c r="J166" t="s">
        <v>45</v>
      </c>
      <c r="K166">
        <v>68</v>
      </c>
      <c r="L166">
        <v>8000</v>
      </c>
      <c r="M166" t="s">
        <v>17</v>
      </c>
      <c r="N166" t="str">
        <f t="shared" si="14"/>
        <v>Adult</v>
      </c>
      <c r="O166" t="str">
        <f t="shared" si="15"/>
        <v>Well Rested</v>
      </c>
      <c r="P166" t="str">
        <f t="shared" si="16"/>
        <v>Very High</v>
      </c>
      <c r="Q166" t="str">
        <f t="shared" si="17"/>
        <v>Mid</v>
      </c>
      <c r="R166" t="str">
        <f t="shared" si="18"/>
        <v>HP Stage 1</v>
      </c>
      <c r="S166" t="str">
        <f t="shared" si="19"/>
        <v>Good</v>
      </c>
      <c r="T166" t="str">
        <f t="shared" si="20"/>
        <v>Highly Active</v>
      </c>
    </row>
    <row r="167" spans="1:20" x14ac:dyDescent="0.25">
      <c r="A167">
        <v>166</v>
      </c>
      <c r="B167" t="s">
        <v>13</v>
      </c>
      <c r="C167">
        <v>41</v>
      </c>
      <c r="D167" t="s">
        <v>42</v>
      </c>
      <c r="E167">
        <v>7.6</v>
      </c>
      <c r="F167">
        <v>8</v>
      </c>
      <c r="G167">
        <v>90</v>
      </c>
      <c r="H167">
        <v>5</v>
      </c>
      <c r="I167" t="s">
        <v>19</v>
      </c>
      <c r="J167" t="s">
        <v>45</v>
      </c>
      <c r="K167">
        <v>70</v>
      </c>
      <c r="L167">
        <v>8000</v>
      </c>
      <c r="M167" t="s">
        <v>25</v>
      </c>
      <c r="N167" t="str">
        <f t="shared" si="14"/>
        <v>Adult</v>
      </c>
      <c r="O167" t="str">
        <f t="shared" si="15"/>
        <v>Well Rested</v>
      </c>
      <c r="P167" t="str">
        <f t="shared" si="16"/>
        <v>Very High</v>
      </c>
      <c r="Q167" t="str">
        <f t="shared" si="17"/>
        <v>Mid</v>
      </c>
      <c r="R167" t="str">
        <f t="shared" si="18"/>
        <v>HP Stage 1</v>
      </c>
      <c r="S167" t="str">
        <f t="shared" si="19"/>
        <v>Average</v>
      </c>
      <c r="T167" t="str">
        <f t="shared" si="20"/>
        <v>Highly Active</v>
      </c>
    </row>
    <row r="168" spans="1:20" x14ac:dyDescent="0.25">
      <c r="A168">
        <v>167</v>
      </c>
      <c r="B168" t="s">
        <v>13</v>
      </c>
      <c r="C168">
        <v>41</v>
      </c>
      <c r="D168" t="s">
        <v>34</v>
      </c>
      <c r="E168">
        <v>7.3</v>
      </c>
      <c r="F168">
        <v>8</v>
      </c>
      <c r="G168">
        <v>70</v>
      </c>
      <c r="H168">
        <v>6</v>
      </c>
      <c r="I168" t="s">
        <v>30</v>
      </c>
      <c r="J168" t="s">
        <v>48</v>
      </c>
      <c r="K168">
        <v>72</v>
      </c>
      <c r="L168">
        <v>6200</v>
      </c>
      <c r="M168" t="s">
        <v>17</v>
      </c>
      <c r="N168" t="str">
        <f t="shared" si="14"/>
        <v>Adult</v>
      </c>
      <c r="O168" t="str">
        <f t="shared" si="15"/>
        <v>Well Rested</v>
      </c>
      <c r="P168" t="str">
        <f t="shared" si="16"/>
        <v>High</v>
      </c>
      <c r="Q168" t="str">
        <f t="shared" si="17"/>
        <v>Mid</v>
      </c>
      <c r="R168" t="str">
        <f t="shared" si="18"/>
        <v>Elevated</v>
      </c>
      <c r="S168" t="str">
        <f t="shared" si="19"/>
        <v>Average</v>
      </c>
      <c r="T168" t="str">
        <f t="shared" si="20"/>
        <v>Active</v>
      </c>
    </row>
    <row r="169" spans="1:20" x14ac:dyDescent="0.25">
      <c r="A169">
        <v>168</v>
      </c>
      <c r="B169" t="s">
        <v>13</v>
      </c>
      <c r="C169">
        <v>41</v>
      </c>
      <c r="D169" t="s">
        <v>42</v>
      </c>
      <c r="E169">
        <v>7.1</v>
      </c>
      <c r="F169">
        <v>7</v>
      </c>
      <c r="G169">
        <v>55</v>
      </c>
      <c r="H169">
        <v>6</v>
      </c>
      <c r="I169" t="s">
        <v>15</v>
      </c>
      <c r="J169" t="s">
        <v>49</v>
      </c>
      <c r="K169">
        <v>72</v>
      </c>
      <c r="L169">
        <v>6000</v>
      </c>
      <c r="M169" t="s">
        <v>17</v>
      </c>
      <c r="N169" t="str">
        <f t="shared" si="14"/>
        <v>Adult</v>
      </c>
      <c r="O169" t="str">
        <f t="shared" si="15"/>
        <v>Good Sleep</v>
      </c>
      <c r="P169" t="str">
        <f t="shared" si="16"/>
        <v>Moderate</v>
      </c>
      <c r="Q169" t="str">
        <f t="shared" si="17"/>
        <v>Mid</v>
      </c>
      <c r="R169" t="str">
        <f t="shared" si="18"/>
        <v>Elevated</v>
      </c>
      <c r="S169" t="str">
        <f t="shared" si="19"/>
        <v>Average</v>
      </c>
      <c r="T169" t="str">
        <f t="shared" si="20"/>
        <v>Active</v>
      </c>
    </row>
    <row r="170" spans="1:20" x14ac:dyDescent="0.25">
      <c r="A170">
        <v>169</v>
      </c>
      <c r="B170" t="s">
        <v>13</v>
      </c>
      <c r="C170">
        <v>41</v>
      </c>
      <c r="D170" t="s">
        <v>42</v>
      </c>
      <c r="E170">
        <v>7.1</v>
      </c>
      <c r="F170">
        <v>7</v>
      </c>
      <c r="G170">
        <v>55</v>
      </c>
      <c r="H170">
        <v>6</v>
      </c>
      <c r="I170" t="s">
        <v>15</v>
      </c>
      <c r="J170" t="s">
        <v>49</v>
      </c>
      <c r="K170">
        <v>72</v>
      </c>
      <c r="L170">
        <v>6000</v>
      </c>
      <c r="M170" t="s">
        <v>17</v>
      </c>
      <c r="N170" t="str">
        <f t="shared" si="14"/>
        <v>Adult</v>
      </c>
      <c r="O170" t="str">
        <f t="shared" si="15"/>
        <v>Good Sleep</v>
      </c>
      <c r="P170" t="str">
        <f t="shared" si="16"/>
        <v>Moderate</v>
      </c>
      <c r="Q170" t="str">
        <f t="shared" si="17"/>
        <v>Mid</v>
      </c>
      <c r="R170" t="str">
        <f t="shared" si="18"/>
        <v>Elevated</v>
      </c>
      <c r="S170" t="str">
        <f t="shared" si="19"/>
        <v>Average</v>
      </c>
      <c r="T170" t="str">
        <f t="shared" si="20"/>
        <v>Active</v>
      </c>
    </row>
    <row r="171" spans="1:20" x14ac:dyDescent="0.25">
      <c r="A171">
        <v>170</v>
      </c>
      <c r="B171" t="s">
        <v>13</v>
      </c>
      <c r="C171">
        <v>41</v>
      </c>
      <c r="D171" t="s">
        <v>42</v>
      </c>
      <c r="E171">
        <v>7.7</v>
      </c>
      <c r="F171">
        <v>8</v>
      </c>
      <c r="G171">
        <v>90</v>
      </c>
      <c r="H171">
        <v>5</v>
      </c>
      <c r="I171" t="s">
        <v>19</v>
      </c>
      <c r="J171" t="s">
        <v>45</v>
      </c>
      <c r="K171">
        <v>70</v>
      </c>
      <c r="L171">
        <v>8000</v>
      </c>
      <c r="M171" t="s">
        <v>17</v>
      </c>
      <c r="N171" t="str">
        <f t="shared" si="14"/>
        <v>Adult</v>
      </c>
      <c r="O171" t="str">
        <f t="shared" si="15"/>
        <v>Well Rested</v>
      </c>
      <c r="P171" t="str">
        <f t="shared" si="16"/>
        <v>Very High</v>
      </c>
      <c r="Q171" t="str">
        <f t="shared" si="17"/>
        <v>Mid</v>
      </c>
      <c r="R171" t="str">
        <f t="shared" si="18"/>
        <v>HP Stage 1</v>
      </c>
      <c r="S171" t="str">
        <f t="shared" si="19"/>
        <v>Average</v>
      </c>
      <c r="T171" t="str">
        <f t="shared" si="20"/>
        <v>Highly Active</v>
      </c>
    </row>
    <row r="172" spans="1:20" x14ac:dyDescent="0.25">
      <c r="A172">
        <v>171</v>
      </c>
      <c r="B172" t="s">
        <v>13</v>
      </c>
      <c r="C172">
        <v>41</v>
      </c>
      <c r="D172" t="s">
        <v>42</v>
      </c>
      <c r="E172">
        <v>7.7</v>
      </c>
      <c r="F172">
        <v>8</v>
      </c>
      <c r="G172">
        <v>90</v>
      </c>
      <c r="H172">
        <v>5</v>
      </c>
      <c r="I172" t="s">
        <v>19</v>
      </c>
      <c r="J172" t="s">
        <v>45</v>
      </c>
      <c r="K172">
        <v>70</v>
      </c>
      <c r="L172">
        <v>8000</v>
      </c>
      <c r="M172" t="s">
        <v>17</v>
      </c>
      <c r="N172" t="str">
        <f t="shared" si="14"/>
        <v>Adult</v>
      </c>
      <c r="O172" t="str">
        <f t="shared" si="15"/>
        <v>Well Rested</v>
      </c>
      <c r="P172" t="str">
        <f t="shared" si="16"/>
        <v>Very High</v>
      </c>
      <c r="Q172" t="str">
        <f t="shared" si="17"/>
        <v>Mid</v>
      </c>
      <c r="R172" t="str">
        <f t="shared" si="18"/>
        <v>HP Stage 1</v>
      </c>
      <c r="S172" t="str">
        <f t="shared" si="19"/>
        <v>Average</v>
      </c>
      <c r="T172" t="str">
        <f t="shared" si="20"/>
        <v>Highly Active</v>
      </c>
    </row>
    <row r="173" spans="1:20" x14ac:dyDescent="0.25">
      <c r="A173">
        <v>172</v>
      </c>
      <c r="B173" t="s">
        <v>13</v>
      </c>
      <c r="C173">
        <v>41</v>
      </c>
      <c r="D173" t="s">
        <v>42</v>
      </c>
      <c r="E173">
        <v>7.7</v>
      </c>
      <c r="F173">
        <v>8</v>
      </c>
      <c r="G173">
        <v>90</v>
      </c>
      <c r="H173">
        <v>5</v>
      </c>
      <c r="I173" t="s">
        <v>19</v>
      </c>
      <c r="J173" t="s">
        <v>45</v>
      </c>
      <c r="K173">
        <v>70</v>
      </c>
      <c r="L173">
        <v>8000</v>
      </c>
      <c r="M173" t="s">
        <v>17</v>
      </c>
      <c r="N173" t="str">
        <f t="shared" si="14"/>
        <v>Adult</v>
      </c>
      <c r="O173" t="str">
        <f t="shared" si="15"/>
        <v>Well Rested</v>
      </c>
      <c r="P173" t="str">
        <f t="shared" si="16"/>
        <v>Very High</v>
      </c>
      <c r="Q173" t="str">
        <f t="shared" si="17"/>
        <v>Mid</v>
      </c>
      <c r="R173" t="str">
        <f t="shared" si="18"/>
        <v>HP Stage 1</v>
      </c>
      <c r="S173" t="str">
        <f t="shared" si="19"/>
        <v>Average</v>
      </c>
      <c r="T173" t="str">
        <f t="shared" si="20"/>
        <v>Highly Active</v>
      </c>
    </row>
    <row r="174" spans="1:20" x14ac:dyDescent="0.25">
      <c r="A174">
        <v>173</v>
      </c>
      <c r="B174" t="s">
        <v>13</v>
      </c>
      <c r="C174">
        <v>41</v>
      </c>
      <c r="D174" t="s">
        <v>42</v>
      </c>
      <c r="E174">
        <v>7.7</v>
      </c>
      <c r="F174">
        <v>8</v>
      </c>
      <c r="G174">
        <v>90</v>
      </c>
      <c r="H174">
        <v>5</v>
      </c>
      <c r="I174" t="s">
        <v>19</v>
      </c>
      <c r="J174" t="s">
        <v>45</v>
      </c>
      <c r="K174">
        <v>70</v>
      </c>
      <c r="L174">
        <v>8000</v>
      </c>
      <c r="M174" t="s">
        <v>17</v>
      </c>
      <c r="N174" t="str">
        <f t="shared" si="14"/>
        <v>Adult</v>
      </c>
      <c r="O174" t="str">
        <f t="shared" si="15"/>
        <v>Well Rested</v>
      </c>
      <c r="P174" t="str">
        <f t="shared" si="16"/>
        <v>Very High</v>
      </c>
      <c r="Q174" t="str">
        <f t="shared" si="17"/>
        <v>Mid</v>
      </c>
      <c r="R174" t="str">
        <f t="shared" si="18"/>
        <v>HP Stage 1</v>
      </c>
      <c r="S174" t="str">
        <f t="shared" si="19"/>
        <v>Average</v>
      </c>
      <c r="T174" t="str">
        <f t="shared" si="20"/>
        <v>Highly Active</v>
      </c>
    </row>
    <row r="175" spans="1:20" x14ac:dyDescent="0.25">
      <c r="A175">
        <v>174</v>
      </c>
      <c r="B175" t="s">
        <v>13</v>
      </c>
      <c r="C175">
        <v>41</v>
      </c>
      <c r="D175" t="s">
        <v>42</v>
      </c>
      <c r="E175">
        <v>7.7</v>
      </c>
      <c r="F175">
        <v>8</v>
      </c>
      <c r="G175">
        <v>90</v>
      </c>
      <c r="H175">
        <v>5</v>
      </c>
      <c r="I175" t="s">
        <v>19</v>
      </c>
      <c r="J175" t="s">
        <v>45</v>
      </c>
      <c r="K175">
        <v>70</v>
      </c>
      <c r="L175">
        <v>8000</v>
      </c>
      <c r="M175" t="s">
        <v>17</v>
      </c>
      <c r="N175" t="str">
        <f t="shared" si="14"/>
        <v>Adult</v>
      </c>
      <c r="O175" t="str">
        <f t="shared" si="15"/>
        <v>Well Rested</v>
      </c>
      <c r="P175" t="str">
        <f t="shared" si="16"/>
        <v>Very High</v>
      </c>
      <c r="Q175" t="str">
        <f t="shared" si="17"/>
        <v>Mid</v>
      </c>
      <c r="R175" t="str">
        <f t="shared" si="18"/>
        <v>HP Stage 1</v>
      </c>
      <c r="S175" t="str">
        <f t="shared" si="19"/>
        <v>Average</v>
      </c>
      <c r="T175" t="str">
        <f t="shared" si="20"/>
        <v>Highly Active</v>
      </c>
    </row>
    <row r="176" spans="1:20" x14ac:dyDescent="0.25">
      <c r="A176">
        <v>175</v>
      </c>
      <c r="B176" t="s">
        <v>13</v>
      </c>
      <c r="C176">
        <v>41</v>
      </c>
      <c r="D176" t="s">
        <v>42</v>
      </c>
      <c r="E176">
        <v>7.6</v>
      </c>
      <c r="F176">
        <v>8</v>
      </c>
      <c r="G176">
        <v>90</v>
      </c>
      <c r="H176">
        <v>5</v>
      </c>
      <c r="I176" t="s">
        <v>19</v>
      </c>
      <c r="J176" t="s">
        <v>45</v>
      </c>
      <c r="K176">
        <v>70</v>
      </c>
      <c r="L176">
        <v>8000</v>
      </c>
      <c r="M176" t="s">
        <v>17</v>
      </c>
      <c r="N176" t="str">
        <f t="shared" si="14"/>
        <v>Adult</v>
      </c>
      <c r="O176" t="str">
        <f t="shared" si="15"/>
        <v>Well Rested</v>
      </c>
      <c r="P176" t="str">
        <f t="shared" si="16"/>
        <v>Very High</v>
      </c>
      <c r="Q176" t="str">
        <f t="shared" si="17"/>
        <v>Mid</v>
      </c>
      <c r="R176" t="str">
        <f t="shared" si="18"/>
        <v>HP Stage 1</v>
      </c>
      <c r="S176" t="str">
        <f t="shared" si="19"/>
        <v>Average</v>
      </c>
      <c r="T176" t="str">
        <f t="shared" si="20"/>
        <v>Highly Active</v>
      </c>
    </row>
    <row r="177" spans="1:20" x14ac:dyDescent="0.25">
      <c r="A177">
        <v>176</v>
      </c>
      <c r="B177" t="s">
        <v>13</v>
      </c>
      <c r="C177">
        <v>41</v>
      </c>
      <c r="D177" t="s">
        <v>42</v>
      </c>
      <c r="E177">
        <v>7.6</v>
      </c>
      <c r="F177">
        <v>8</v>
      </c>
      <c r="G177">
        <v>90</v>
      </c>
      <c r="H177">
        <v>5</v>
      </c>
      <c r="I177" t="s">
        <v>19</v>
      </c>
      <c r="J177" t="s">
        <v>45</v>
      </c>
      <c r="K177">
        <v>70</v>
      </c>
      <c r="L177">
        <v>8000</v>
      </c>
      <c r="M177" t="s">
        <v>17</v>
      </c>
      <c r="N177" t="str">
        <f t="shared" si="14"/>
        <v>Adult</v>
      </c>
      <c r="O177" t="str">
        <f t="shared" si="15"/>
        <v>Well Rested</v>
      </c>
      <c r="P177" t="str">
        <f t="shared" si="16"/>
        <v>Very High</v>
      </c>
      <c r="Q177" t="str">
        <f t="shared" si="17"/>
        <v>Mid</v>
      </c>
      <c r="R177" t="str">
        <f t="shared" si="18"/>
        <v>HP Stage 1</v>
      </c>
      <c r="S177" t="str">
        <f t="shared" si="19"/>
        <v>Average</v>
      </c>
      <c r="T177" t="str">
        <f t="shared" si="20"/>
        <v>Highly Active</v>
      </c>
    </row>
    <row r="178" spans="1:20" x14ac:dyDescent="0.25">
      <c r="A178">
        <v>177</v>
      </c>
      <c r="B178" t="s">
        <v>13</v>
      </c>
      <c r="C178">
        <v>41</v>
      </c>
      <c r="D178" t="s">
        <v>42</v>
      </c>
      <c r="E178">
        <v>7.6</v>
      </c>
      <c r="F178">
        <v>8</v>
      </c>
      <c r="G178">
        <v>90</v>
      </c>
      <c r="H178">
        <v>5</v>
      </c>
      <c r="I178" t="s">
        <v>19</v>
      </c>
      <c r="J178" t="s">
        <v>45</v>
      </c>
      <c r="K178">
        <v>70</v>
      </c>
      <c r="L178">
        <v>8000</v>
      </c>
      <c r="M178" t="s">
        <v>17</v>
      </c>
      <c r="N178" t="str">
        <f t="shared" si="14"/>
        <v>Adult</v>
      </c>
      <c r="O178" t="str">
        <f t="shared" si="15"/>
        <v>Well Rested</v>
      </c>
      <c r="P178" t="str">
        <f t="shared" si="16"/>
        <v>Very High</v>
      </c>
      <c r="Q178" t="str">
        <f t="shared" si="17"/>
        <v>Mid</v>
      </c>
      <c r="R178" t="str">
        <f t="shared" si="18"/>
        <v>HP Stage 1</v>
      </c>
      <c r="S178" t="str">
        <f t="shared" si="19"/>
        <v>Average</v>
      </c>
      <c r="T178" t="str">
        <f t="shared" si="20"/>
        <v>Highly Active</v>
      </c>
    </row>
    <row r="179" spans="1:20" x14ac:dyDescent="0.25">
      <c r="A179">
        <v>178</v>
      </c>
      <c r="B179" t="s">
        <v>13</v>
      </c>
      <c r="C179">
        <v>42</v>
      </c>
      <c r="D179" t="s">
        <v>50</v>
      </c>
      <c r="E179">
        <v>6.5</v>
      </c>
      <c r="F179">
        <v>6</v>
      </c>
      <c r="G179">
        <v>45</v>
      </c>
      <c r="H179">
        <v>7</v>
      </c>
      <c r="I179" t="s">
        <v>15</v>
      </c>
      <c r="J179" t="s">
        <v>45</v>
      </c>
      <c r="K179">
        <v>72</v>
      </c>
      <c r="L179">
        <v>6000</v>
      </c>
      <c r="M179" t="s">
        <v>25</v>
      </c>
      <c r="N179" t="str">
        <f t="shared" si="14"/>
        <v>Adult</v>
      </c>
      <c r="O179" t="str">
        <f t="shared" si="15"/>
        <v>Okay Sleep</v>
      </c>
      <c r="P179" t="str">
        <f t="shared" si="16"/>
        <v>Not Good Enough</v>
      </c>
      <c r="Q179" t="str">
        <f t="shared" si="17"/>
        <v>High</v>
      </c>
      <c r="R179" t="str">
        <f t="shared" si="18"/>
        <v>HP Stage 1</v>
      </c>
      <c r="S179" t="str">
        <f t="shared" si="19"/>
        <v>Average</v>
      </c>
      <c r="T179" t="str">
        <f t="shared" si="20"/>
        <v>Active</v>
      </c>
    </row>
    <row r="180" spans="1:20" x14ac:dyDescent="0.25">
      <c r="A180">
        <v>179</v>
      </c>
      <c r="B180" t="s">
        <v>13</v>
      </c>
      <c r="C180">
        <v>42</v>
      </c>
      <c r="D180" t="s">
        <v>42</v>
      </c>
      <c r="E180">
        <v>7.8</v>
      </c>
      <c r="F180">
        <v>8</v>
      </c>
      <c r="G180">
        <v>90</v>
      </c>
      <c r="H180">
        <v>5</v>
      </c>
      <c r="I180" t="s">
        <v>19</v>
      </c>
      <c r="J180" t="s">
        <v>45</v>
      </c>
      <c r="K180">
        <v>70</v>
      </c>
      <c r="L180">
        <v>8000</v>
      </c>
      <c r="M180" t="s">
        <v>17</v>
      </c>
      <c r="N180" t="str">
        <f t="shared" si="14"/>
        <v>Adult</v>
      </c>
      <c r="O180" t="str">
        <f t="shared" si="15"/>
        <v>Well Rested</v>
      </c>
      <c r="P180" t="str">
        <f t="shared" si="16"/>
        <v>Very High</v>
      </c>
      <c r="Q180" t="str">
        <f t="shared" si="17"/>
        <v>Mid</v>
      </c>
      <c r="R180" t="str">
        <f t="shared" si="18"/>
        <v>HP Stage 1</v>
      </c>
      <c r="S180" t="str">
        <f t="shared" si="19"/>
        <v>Average</v>
      </c>
      <c r="T180" t="str">
        <f t="shared" si="20"/>
        <v>Highly Active</v>
      </c>
    </row>
    <row r="181" spans="1:20" x14ac:dyDescent="0.25">
      <c r="A181">
        <v>180</v>
      </c>
      <c r="B181" t="s">
        <v>13</v>
      </c>
      <c r="C181">
        <v>42</v>
      </c>
      <c r="D181" t="s">
        <v>42</v>
      </c>
      <c r="E181">
        <v>7.8</v>
      </c>
      <c r="F181">
        <v>8</v>
      </c>
      <c r="G181">
        <v>90</v>
      </c>
      <c r="H181">
        <v>5</v>
      </c>
      <c r="I181" t="s">
        <v>19</v>
      </c>
      <c r="J181" t="s">
        <v>45</v>
      </c>
      <c r="K181">
        <v>70</v>
      </c>
      <c r="L181">
        <v>8000</v>
      </c>
      <c r="M181" t="s">
        <v>17</v>
      </c>
      <c r="N181" t="str">
        <f t="shared" si="14"/>
        <v>Adult</v>
      </c>
      <c r="O181" t="str">
        <f t="shared" si="15"/>
        <v>Well Rested</v>
      </c>
      <c r="P181" t="str">
        <f t="shared" si="16"/>
        <v>Very High</v>
      </c>
      <c r="Q181" t="str">
        <f t="shared" si="17"/>
        <v>Mid</v>
      </c>
      <c r="R181" t="str">
        <f t="shared" si="18"/>
        <v>HP Stage 1</v>
      </c>
      <c r="S181" t="str">
        <f t="shared" si="19"/>
        <v>Average</v>
      </c>
      <c r="T181" t="str">
        <f t="shared" si="20"/>
        <v>Highly Active</v>
      </c>
    </row>
    <row r="182" spans="1:20" x14ac:dyDescent="0.25">
      <c r="A182">
        <v>181</v>
      </c>
      <c r="B182" t="s">
        <v>13</v>
      </c>
      <c r="C182">
        <v>42</v>
      </c>
      <c r="D182" t="s">
        <v>42</v>
      </c>
      <c r="E182">
        <v>7.8</v>
      </c>
      <c r="F182">
        <v>8</v>
      </c>
      <c r="G182">
        <v>90</v>
      </c>
      <c r="H182">
        <v>5</v>
      </c>
      <c r="I182" t="s">
        <v>19</v>
      </c>
      <c r="J182" t="s">
        <v>45</v>
      </c>
      <c r="K182">
        <v>70</v>
      </c>
      <c r="L182">
        <v>8000</v>
      </c>
      <c r="M182" t="s">
        <v>17</v>
      </c>
      <c r="N182" t="str">
        <f t="shared" si="14"/>
        <v>Adult</v>
      </c>
      <c r="O182" t="str">
        <f t="shared" si="15"/>
        <v>Well Rested</v>
      </c>
      <c r="P182" t="str">
        <f t="shared" si="16"/>
        <v>Very High</v>
      </c>
      <c r="Q182" t="str">
        <f t="shared" si="17"/>
        <v>Mid</v>
      </c>
      <c r="R182" t="str">
        <f t="shared" si="18"/>
        <v>HP Stage 1</v>
      </c>
      <c r="S182" t="str">
        <f t="shared" si="19"/>
        <v>Average</v>
      </c>
      <c r="T182" t="str">
        <f t="shared" si="20"/>
        <v>Highly Active</v>
      </c>
    </row>
    <row r="183" spans="1:20" x14ac:dyDescent="0.25">
      <c r="A183">
        <v>182</v>
      </c>
      <c r="B183" t="s">
        <v>13</v>
      </c>
      <c r="C183">
        <v>42</v>
      </c>
      <c r="D183" t="s">
        <v>42</v>
      </c>
      <c r="E183">
        <v>7.8</v>
      </c>
      <c r="F183">
        <v>8</v>
      </c>
      <c r="G183">
        <v>90</v>
      </c>
      <c r="H183">
        <v>5</v>
      </c>
      <c r="I183" t="s">
        <v>19</v>
      </c>
      <c r="J183" t="s">
        <v>45</v>
      </c>
      <c r="K183">
        <v>70</v>
      </c>
      <c r="L183">
        <v>8000</v>
      </c>
      <c r="M183" t="s">
        <v>17</v>
      </c>
      <c r="N183" t="str">
        <f t="shared" si="14"/>
        <v>Adult</v>
      </c>
      <c r="O183" t="str">
        <f t="shared" si="15"/>
        <v>Well Rested</v>
      </c>
      <c r="P183" t="str">
        <f t="shared" si="16"/>
        <v>Very High</v>
      </c>
      <c r="Q183" t="str">
        <f t="shared" si="17"/>
        <v>Mid</v>
      </c>
      <c r="R183" t="str">
        <f t="shared" si="18"/>
        <v>HP Stage 1</v>
      </c>
      <c r="S183" t="str">
        <f t="shared" si="19"/>
        <v>Average</v>
      </c>
      <c r="T183" t="str">
        <f t="shared" si="20"/>
        <v>Highly Active</v>
      </c>
    </row>
    <row r="184" spans="1:20" x14ac:dyDescent="0.25">
      <c r="A184">
        <v>183</v>
      </c>
      <c r="B184" t="s">
        <v>13</v>
      </c>
      <c r="C184">
        <v>42</v>
      </c>
      <c r="D184" t="s">
        <v>42</v>
      </c>
      <c r="E184">
        <v>7.8</v>
      </c>
      <c r="F184">
        <v>8</v>
      </c>
      <c r="G184">
        <v>90</v>
      </c>
      <c r="H184">
        <v>5</v>
      </c>
      <c r="I184" t="s">
        <v>19</v>
      </c>
      <c r="J184" t="s">
        <v>45</v>
      </c>
      <c r="K184">
        <v>70</v>
      </c>
      <c r="L184">
        <v>8000</v>
      </c>
      <c r="M184" t="s">
        <v>17</v>
      </c>
      <c r="N184" t="str">
        <f t="shared" si="14"/>
        <v>Adult</v>
      </c>
      <c r="O184" t="str">
        <f t="shared" si="15"/>
        <v>Well Rested</v>
      </c>
      <c r="P184" t="str">
        <f t="shared" si="16"/>
        <v>Very High</v>
      </c>
      <c r="Q184" t="str">
        <f t="shared" si="17"/>
        <v>Mid</v>
      </c>
      <c r="R184" t="str">
        <f t="shared" si="18"/>
        <v>HP Stage 1</v>
      </c>
      <c r="S184" t="str">
        <f t="shared" si="19"/>
        <v>Average</v>
      </c>
      <c r="T184" t="str">
        <f t="shared" si="20"/>
        <v>Highly Active</v>
      </c>
    </row>
    <row r="185" spans="1:20" x14ac:dyDescent="0.25">
      <c r="A185">
        <v>184</v>
      </c>
      <c r="B185" t="s">
        <v>13</v>
      </c>
      <c r="C185">
        <v>42</v>
      </c>
      <c r="D185" t="s">
        <v>42</v>
      </c>
      <c r="E185">
        <v>7.8</v>
      </c>
      <c r="F185">
        <v>8</v>
      </c>
      <c r="G185">
        <v>90</v>
      </c>
      <c r="H185">
        <v>5</v>
      </c>
      <c r="I185" t="s">
        <v>19</v>
      </c>
      <c r="J185" t="s">
        <v>45</v>
      </c>
      <c r="K185">
        <v>70</v>
      </c>
      <c r="L185">
        <v>8000</v>
      </c>
      <c r="M185" t="s">
        <v>17</v>
      </c>
      <c r="N185" t="str">
        <f t="shared" si="14"/>
        <v>Adult</v>
      </c>
      <c r="O185" t="str">
        <f t="shared" si="15"/>
        <v>Well Rested</v>
      </c>
      <c r="P185" t="str">
        <f t="shared" si="16"/>
        <v>Very High</v>
      </c>
      <c r="Q185" t="str">
        <f t="shared" si="17"/>
        <v>Mid</v>
      </c>
      <c r="R185" t="str">
        <f t="shared" si="18"/>
        <v>HP Stage 1</v>
      </c>
      <c r="S185" t="str">
        <f t="shared" si="19"/>
        <v>Average</v>
      </c>
      <c r="T185" t="str">
        <f t="shared" si="20"/>
        <v>Highly Active</v>
      </c>
    </row>
    <row r="186" spans="1:20" x14ac:dyDescent="0.25">
      <c r="A186">
        <v>185</v>
      </c>
      <c r="B186" t="s">
        <v>28</v>
      </c>
      <c r="C186">
        <v>42</v>
      </c>
      <c r="D186" t="s">
        <v>26</v>
      </c>
      <c r="E186">
        <v>6.8</v>
      </c>
      <c r="F186">
        <v>6</v>
      </c>
      <c r="G186">
        <v>45</v>
      </c>
      <c r="H186">
        <v>7</v>
      </c>
      <c r="I186" t="s">
        <v>15</v>
      </c>
      <c r="J186" t="s">
        <v>45</v>
      </c>
      <c r="K186">
        <v>78</v>
      </c>
      <c r="L186">
        <v>5000</v>
      </c>
      <c r="M186" t="s">
        <v>24</v>
      </c>
      <c r="N186" t="str">
        <f t="shared" si="14"/>
        <v>Adult</v>
      </c>
      <c r="O186" t="str">
        <f t="shared" si="15"/>
        <v>Okay Sleep</v>
      </c>
      <c r="P186" t="str">
        <f t="shared" si="16"/>
        <v>Not Good Enough</v>
      </c>
      <c r="Q186" t="str">
        <f t="shared" si="17"/>
        <v>High</v>
      </c>
      <c r="R186" t="str">
        <f t="shared" si="18"/>
        <v>HP Stage 1</v>
      </c>
      <c r="S186" t="str">
        <f t="shared" si="19"/>
        <v>Below Average</v>
      </c>
      <c r="T186" t="str">
        <f t="shared" si="20"/>
        <v>Low Active</v>
      </c>
    </row>
    <row r="187" spans="1:20" x14ac:dyDescent="0.25">
      <c r="A187">
        <v>186</v>
      </c>
      <c r="B187" t="s">
        <v>28</v>
      </c>
      <c r="C187">
        <v>42</v>
      </c>
      <c r="D187" t="s">
        <v>26</v>
      </c>
      <c r="E187">
        <v>6.8</v>
      </c>
      <c r="F187">
        <v>6</v>
      </c>
      <c r="G187">
        <v>45</v>
      </c>
      <c r="H187">
        <v>7</v>
      </c>
      <c r="I187" t="s">
        <v>15</v>
      </c>
      <c r="J187" t="s">
        <v>45</v>
      </c>
      <c r="K187">
        <v>78</v>
      </c>
      <c r="L187">
        <v>5000</v>
      </c>
      <c r="M187" t="s">
        <v>24</v>
      </c>
      <c r="N187" t="str">
        <f t="shared" si="14"/>
        <v>Adult</v>
      </c>
      <c r="O187" t="str">
        <f t="shared" si="15"/>
        <v>Okay Sleep</v>
      </c>
      <c r="P187" t="str">
        <f t="shared" si="16"/>
        <v>Not Good Enough</v>
      </c>
      <c r="Q187" t="str">
        <f t="shared" si="17"/>
        <v>High</v>
      </c>
      <c r="R187" t="str">
        <f t="shared" si="18"/>
        <v>HP Stage 1</v>
      </c>
      <c r="S187" t="str">
        <f t="shared" si="19"/>
        <v>Below Average</v>
      </c>
      <c r="T187" t="str">
        <f t="shared" si="20"/>
        <v>Low Active</v>
      </c>
    </row>
    <row r="188" spans="1:20" x14ac:dyDescent="0.25">
      <c r="A188">
        <v>187</v>
      </c>
      <c r="B188" t="s">
        <v>28</v>
      </c>
      <c r="C188">
        <v>43</v>
      </c>
      <c r="D188" t="s">
        <v>26</v>
      </c>
      <c r="E188">
        <v>6.7</v>
      </c>
      <c r="F188">
        <v>7</v>
      </c>
      <c r="G188">
        <v>45</v>
      </c>
      <c r="H188">
        <v>4</v>
      </c>
      <c r="I188" t="s">
        <v>15</v>
      </c>
      <c r="J188" t="s">
        <v>51</v>
      </c>
      <c r="K188">
        <v>65</v>
      </c>
      <c r="L188">
        <v>6000</v>
      </c>
      <c r="M188" t="s">
        <v>25</v>
      </c>
      <c r="N188" t="str">
        <f t="shared" si="14"/>
        <v>Adult</v>
      </c>
      <c r="O188" t="str">
        <f t="shared" si="15"/>
        <v>Good Sleep</v>
      </c>
      <c r="P188" t="str">
        <f t="shared" si="16"/>
        <v>Not Good Enough</v>
      </c>
      <c r="Q188" t="str">
        <f t="shared" si="17"/>
        <v>Low</v>
      </c>
      <c r="R188" t="str">
        <f t="shared" si="18"/>
        <v>HP Stage 1</v>
      </c>
      <c r="S188" t="str">
        <f t="shared" si="19"/>
        <v>Good</v>
      </c>
      <c r="T188" t="str">
        <f t="shared" si="20"/>
        <v>Active</v>
      </c>
    </row>
    <row r="189" spans="1:20" x14ac:dyDescent="0.25">
      <c r="A189">
        <v>188</v>
      </c>
      <c r="B189" t="s">
        <v>13</v>
      </c>
      <c r="C189">
        <v>43</v>
      </c>
      <c r="D189" t="s">
        <v>50</v>
      </c>
      <c r="E189">
        <v>6.3</v>
      </c>
      <c r="F189">
        <v>6</v>
      </c>
      <c r="G189">
        <v>45</v>
      </c>
      <c r="H189">
        <v>7</v>
      </c>
      <c r="I189" t="s">
        <v>15</v>
      </c>
      <c r="J189" t="s">
        <v>45</v>
      </c>
      <c r="K189">
        <v>72</v>
      </c>
      <c r="L189">
        <v>6000</v>
      </c>
      <c r="M189" t="s">
        <v>25</v>
      </c>
      <c r="N189" t="str">
        <f t="shared" si="14"/>
        <v>Adult</v>
      </c>
      <c r="O189" t="str">
        <f t="shared" si="15"/>
        <v>Okay Sleep</v>
      </c>
      <c r="P189" t="str">
        <f t="shared" si="16"/>
        <v>Not Good Enough</v>
      </c>
      <c r="Q189" t="str">
        <f t="shared" si="17"/>
        <v>High</v>
      </c>
      <c r="R189" t="str">
        <f t="shared" si="18"/>
        <v>HP Stage 1</v>
      </c>
      <c r="S189" t="str">
        <f t="shared" si="19"/>
        <v>Average</v>
      </c>
      <c r="T189" t="str">
        <f t="shared" si="20"/>
        <v>Active</v>
      </c>
    </row>
    <row r="190" spans="1:20" x14ac:dyDescent="0.25">
      <c r="A190">
        <v>189</v>
      </c>
      <c r="B190" t="s">
        <v>28</v>
      </c>
      <c r="C190">
        <v>43</v>
      </c>
      <c r="D190" t="s">
        <v>26</v>
      </c>
      <c r="E190">
        <v>6.7</v>
      </c>
      <c r="F190">
        <v>7</v>
      </c>
      <c r="G190">
        <v>45</v>
      </c>
      <c r="H190">
        <v>4</v>
      </c>
      <c r="I190" t="s">
        <v>15</v>
      </c>
      <c r="J190" t="s">
        <v>51</v>
      </c>
      <c r="K190">
        <v>65</v>
      </c>
      <c r="L190">
        <v>6000</v>
      </c>
      <c r="M190" t="s">
        <v>25</v>
      </c>
      <c r="N190" t="str">
        <f t="shared" si="14"/>
        <v>Adult</v>
      </c>
      <c r="O190" t="str">
        <f t="shared" si="15"/>
        <v>Good Sleep</v>
      </c>
      <c r="P190" t="str">
        <f t="shared" si="16"/>
        <v>Not Good Enough</v>
      </c>
      <c r="Q190" t="str">
        <f t="shared" si="17"/>
        <v>Low</v>
      </c>
      <c r="R190" t="str">
        <f t="shared" si="18"/>
        <v>HP Stage 1</v>
      </c>
      <c r="S190" t="str">
        <f t="shared" si="19"/>
        <v>Good</v>
      </c>
      <c r="T190" t="str">
        <f t="shared" si="20"/>
        <v>Active</v>
      </c>
    </row>
    <row r="191" spans="1:20" x14ac:dyDescent="0.25">
      <c r="A191">
        <v>190</v>
      </c>
      <c r="B191" t="s">
        <v>13</v>
      </c>
      <c r="C191">
        <v>43</v>
      </c>
      <c r="D191" t="s">
        <v>50</v>
      </c>
      <c r="E191">
        <v>6.5</v>
      </c>
      <c r="F191">
        <v>6</v>
      </c>
      <c r="G191">
        <v>45</v>
      </c>
      <c r="H191">
        <v>7</v>
      </c>
      <c r="I191" t="s">
        <v>15</v>
      </c>
      <c r="J191" t="s">
        <v>45</v>
      </c>
      <c r="K191">
        <v>72</v>
      </c>
      <c r="L191">
        <v>6000</v>
      </c>
      <c r="M191" t="s">
        <v>25</v>
      </c>
      <c r="N191" t="str">
        <f t="shared" si="14"/>
        <v>Adult</v>
      </c>
      <c r="O191" t="str">
        <f t="shared" si="15"/>
        <v>Okay Sleep</v>
      </c>
      <c r="P191" t="str">
        <f t="shared" si="16"/>
        <v>Not Good Enough</v>
      </c>
      <c r="Q191" t="str">
        <f t="shared" si="17"/>
        <v>High</v>
      </c>
      <c r="R191" t="str">
        <f t="shared" si="18"/>
        <v>HP Stage 1</v>
      </c>
      <c r="S191" t="str">
        <f t="shared" si="19"/>
        <v>Average</v>
      </c>
      <c r="T191" t="str">
        <f t="shared" si="20"/>
        <v>Active</v>
      </c>
    </row>
    <row r="192" spans="1:20" x14ac:dyDescent="0.25">
      <c r="A192">
        <v>191</v>
      </c>
      <c r="B192" t="s">
        <v>28</v>
      </c>
      <c r="C192">
        <v>43</v>
      </c>
      <c r="D192" t="s">
        <v>26</v>
      </c>
      <c r="E192">
        <v>6.7</v>
      </c>
      <c r="F192">
        <v>7</v>
      </c>
      <c r="G192">
        <v>45</v>
      </c>
      <c r="H192">
        <v>4</v>
      </c>
      <c r="I192" t="s">
        <v>15</v>
      </c>
      <c r="J192" t="s">
        <v>51</v>
      </c>
      <c r="K192">
        <v>65</v>
      </c>
      <c r="L192">
        <v>6000</v>
      </c>
      <c r="M192" t="s">
        <v>25</v>
      </c>
      <c r="N192" t="str">
        <f t="shared" si="14"/>
        <v>Adult</v>
      </c>
      <c r="O192" t="str">
        <f t="shared" si="15"/>
        <v>Good Sleep</v>
      </c>
      <c r="P192" t="str">
        <f t="shared" si="16"/>
        <v>Not Good Enough</v>
      </c>
      <c r="Q192" t="str">
        <f t="shared" si="17"/>
        <v>Low</v>
      </c>
      <c r="R192" t="str">
        <f t="shared" si="18"/>
        <v>HP Stage 1</v>
      </c>
      <c r="S192" t="str">
        <f t="shared" si="19"/>
        <v>Good</v>
      </c>
      <c r="T192" t="str">
        <f t="shared" si="20"/>
        <v>Active</v>
      </c>
    </row>
    <row r="193" spans="1:20" x14ac:dyDescent="0.25">
      <c r="A193">
        <v>192</v>
      </c>
      <c r="B193" t="s">
        <v>13</v>
      </c>
      <c r="C193">
        <v>43</v>
      </c>
      <c r="D193" t="s">
        <v>50</v>
      </c>
      <c r="E193">
        <v>6.4</v>
      </c>
      <c r="F193">
        <v>6</v>
      </c>
      <c r="G193">
        <v>45</v>
      </c>
      <c r="H193">
        <v>7</v>
      </c>
      <c r="I193" t="s">
        <v>15</v>
      </c>
      <c r="J193" t="s">
        <v>45</v>
      </c>
      <c r="K193">
        <v>72</v>
      </c>
      <c r="L193">
        <v>6000</v>
      </c>
      <c r="M193" t="s">
        <v>25</v>
      </c>
      <c r="N193" t="str">
        <f t="shared" si="14"/>
        <v>Adult</v>
      </c>
      <c r="O193" t="str">
        <f t="shared" si="15"/>
        <v>Okay Sleep</v>
      </c>
      <c r="P193" t="str">
        <f t="shared" si="16"/>
        <v>Not Good Enough</v>
      </c>
      <c r="Q193" t="str">
        <f t="shared" si="17"/>
        <v>High</v>
      </c>
      <c r="R193" t="str">
        <f t="shared" si="18"/>
        <v>HP Stage 1</v>
      </c>
      <c r="S193" t="str">
        <f t="shared" si="19"/>
        <v>Average</v>
      </c>
      <c r="T193" t="str">
        <f t="shared" si="20"/>
        <v>Active</v>
      </c>
    </row>
    <row r="194" spans="1:20" x14ac:dyDescent="0.25">
      <c r="A194">
        <v>193</v>
      </c>
      <c r="B194" t="s">
        <v>13</v>
      </c>
      <c r="C194">
        <v>43</v>
      </c>
      <c r="D194" t="s">
        <v>50</v>
      </c>
      <c r="E194">
        <v>6.5</v>
      </c>
      <c r="F194">
        <v>6</v>
      </c>
      <c r="G194">
        <v>45</v>
      </c>
      <c r="H194">
        <v>7</v>
      </c>
      <c r="I194" t="s">
        <v>15</v>
      </c>
      <c r="J194" t="s">
        <v>45</v>
      </c>
      <c r="K194">
        <v>72</v>
      </c>
      <c r="L194">
        <v>6000</v>
      </c>
      <c r="M194" t="s">
        <v>25</v>
      </c>
      <c r="N194" t="str">
        <f t="shared" si="14"/>
        <v>Adult</v>
      </c>
      <c r="O194" t="str">
        <f t="shared" si="15"/>
        <v>Okay Sleep</v>
      </c>
      <c r="P194" t="str">
        <f t="shared" si="16"/>
        <v>Not Good Enough</v>
      </c>
      <c r="Q194" t="str">
        <f t="shared" si="17"/>
        <v>High</v>
      </c>
      <c r="R194" t="str">
        <f t="shared" si="18"/>
        <v>HP Stage 1</v>
      </c>
      <c r="S194" t="str">
        <f t="shared" si="19"/>
        <v>Average</v>
      </c>
      <c r="T194" t="str">
        <f t="shared" si="20"/>
        <v>Active</v>
      </c>
    </row>
    <row r="195" spans="1:20" x14ac:dyDescent="0.25">
      <c r="A195">
        <v>194</v>
      </c>
      <c r="B195" t="s">
        <v>13</v>
      </c>
      <c r="C195">
        <v>43</v>
      </c>
      <c r="D195" t="s">
        <v>50</v>
      </c>
      <c r="E195">
        <v>6.5</v>
      </c>
      <c r="F195">
        <v>6</v>
      </c>
      <c r="G195">
        <v>45</v>
      </c>
      <c r="H195">
        <v>7</v>
      </c>
      <c r="I195" t="s">
        <v>15</v>
      </c>
      <c r="J195" t="s">
        <v>45</v>
      </c>
      <c r="K195">
        <v>72</v>
      </c>
      <c r="L195">
        <v>6000</v>
      </c>
      <c r="M195" t="s">
        <v>25</v>
      </c>
      <c r="N195" t="str">
        <f t="shared" ref="N195:N258" si="21">_xlfn.IFS(C195&gt;=50, "Old", C195&gt;=35, "Adult",C195&gt;=27, "Young Adult")</f>
        <v>Adult</v>
      </c>
      <c r="O195" t="str">
        <f t="shared" ref="O195:O258" si="22">_xlfn.IFS(F195&gt;=8, "Well Rested", F195&gt;=7, "Good Sleep", F195&gt;=6, "Okay Sleep",F195&lt;6, "Need more sleep")</f>
        <v>Okay Sleep</v>
      </c>
      <c r="P195" t="str">
        <f t="shared" ref="P195:P258" si="23">_xlfn.IFS(G195&gt;=80, "Very High", G195&gt;=65, "High",G195&gt;=50, "Moderate", G195&gt;=40, "Not Good Enough", G195&lt;40,"Low")</f>
        <v>Not Good Enough</v>
      </c>
      <c r="Q195" t="str">
        <f t="shared" ref="Q195:Q258" si="24">_xlfn.IFS(H195&gt;=7, "High", H195&gt;=5, "Mid", H195&lt;5, "Low")</f>
        <v>High</v>
      </c>
      <c r="R195" t="str">
        <f t="shared" ref="R195:R258" si="25">_xlfn.IFS(J195&gt;="140/90", "HP Stage 2", J195&gt;="130/85","HP Stage 1",J195&gt;="120/80","Elevated",J195&lt;"120/80","Normal")</f>
        <v>HP Stage 1</v>
      </c>
      <c r="S195" t="str">
        <f t="shared" ref="S195:S258" si="26">_xlfn.IFS(K195&gt;=80, "Poor", K195&gt;=75, "Below Average", K195&gt;=70, "Average",K195&lt;70,"Good")</f>
        <v>Average</v>
      </c>
      <c r="T195" t="str">
        <f t="shared" ref="T195:T258" si="27">_xlfn.IFS(L195&gt;=8000,"Highly Active", L195&gt;=6000, "Active", L195&gt;=4000, "Low Active",L195&lt;4000, "Sedentary")</f>
        <v>Active</v>
      </c>
    </row>
    <row r="196" spans="1:20" x14ac:dyDescent="0.25">
      <c r="A196">
        <v>195</v>
      </c>
      <c r="B196" t="s">
        <v>13</v>
      </c>
      <c r="C196">
        <v>43</v>
      </c>
      <c r="D196" t="s">
        <v>50</v>
      </c>
      <c r="E196">
        <v>6.5</v>
      </c>
      <c r="F196">
        <v>6</v>
      </c>
      <c r="G196">
        <v>45</v>
      </c>
      <c r="H196">
        <v>7</v>
      </c>
      <c r="I196" t="s">
        <v>15</v>
      </c>
      <c r="J196" t="s">
        <v>45</v>
      </c>
      <c r="K196">
        <v>72</v>
      </c>
      <c r="L196">
        <v>6000</v>
      </c>
      <c r="M196" t="s">
        <v>25</v>
      </c>
      <c r="N196" t="str">
        <f t="shared" si="21"/>
        <v>Adult</v>
      </c>
      <c r="O196" t="str">
        <f t="shared" si="22"/>
        <v>Okay Sleep</v>
      </c>
      <c r="P196" t="str">
        <f t="shared" si="23"/>
        <v>Not Good Enough</v>
      </c>
      <c r="Q196" t="str">
        <f t="shared" si="24"/>
        <v>High</v>
      </c>
      <c r="R196" t="str">
        <f t="shared" si="25"/>
        <v>HP Stage 1</v>
      </c>
      <c r="S196" t="str">
        <f t="shared" si="26"/>
        <v>Average</v>
      </c>
      <c r="T196" t="str">
        <f t="shared" si="27"/>
        <v>Active</v>
      </c>
    </row>
    <row r="197" spans="1:20" x14ac:dyDescent="0.25">
      <c r="A197">
        <v>196</v>
      </c>
      <c r="B197" t="s">
        <v>13</v>
      </c>
      <c r="C197">
        <v>43</v>
      </c>
      <c r="D197" t="s">
        <v>50</v>
      </c>
      <c r="E197">
        <v>6.5</v>
      </c>
      <c r="F197">
        <v>6</v>
      </c>
      <c r="G197">
        <v>45</v>
      </c>
      <c r="H197">
        <v>7</v>
      </c>
      <c r="I197" t="s">
        <v>15</v>
      </c>
      <c r="J197" t="s">
        <v>45</v>
      </c>
      <c r="K197">
        <v>72</v>
      </c>
      <c r="L197">
        <v>6000</v>
      </c>
      <c r="M197" t="s">
        <v>25</v>
      </c>
      <c r="N197" t="str">
        <f t="shared" si="21"/>
        <v>Adult</v>
      </c>
      <c r="O197" t="str">
        <f t="shared" si="22"/>
        <v>Okay Sleep</v>
      </c>
      <c r="P197" t="str">
        <f t="shared" si="23"/>
        <v>Not Good Enough</v>
      </c>
      <c r="Q197" t="str">
        <f t="shared" si="24"/>
        <v>High</v>
      </c>
      <c r="R197" t="str">
        <f t="shared" si="25"/>
        <v>HP Stage 1</v>
      </c>
      <c r="S197" t="str">
        <f t="shared" si="26"/>
        <v>Average</v>
      </c>
      <c r="T197" t="str">
        <f t="shared" si="27"/>
        <v>Active</v>
      </c>
    </row>
    <row r="198" spans="1:20" x14ac:dyDescent="0.25">
      <c r="A198">
        <v>197</v>
      </c>
      <c r="B198" t="s">
        <v>13</v>
      </c>
      <c r="C198">
        <v>43</v>
      </c>
      <c r="D198" t="s">
        <v>50</v>
      </c>
      <c r="E198">
        <v>6.5</v>
      </c>
      <c r="F198">
        <v>6</v>
      </c>
      <c r="G198">
        <v>45</v>
      </c>
      <c r="H198">
        <v>7</v>
      </c>
      <c r="I198" t="s">
        <v>15</v>
      </c>
      <c r="J198" t="s">
        <v>45</v>
      </c>
      <c r="K198">
        <v>72</v>
      </c>
      <c r="L198">
        <v>6000</v>
      </c>
      <c r="M198" t="s">
        <v>25</v>
      </c>
      <c r="N198" t="str">
        <f t="shared" si="21"/>
        <v>Adult</v>
      </c>
      <c r="O198" t="str">
        <f t="shared" si="22"/>
        <v>Okay Sleep</v>
      </c>
      <c r="P198" t="str">
        <f t="shared" si="23"/>
        <v>Not Good Enough</v>
      </c>
      <c r="Q198" t="str">
        <f t="shared" si="24"/>
        <v>High</v>
      </c>
      <c r="R198" t="str">
        <f t="shared" si="25"/>
        <v>HP Stage 1</v>
      </c>
      <c r="S198" t="str">
        <f t="shared" si="26"/>
        <v>Average</v>
      </c>
      <c r="T198" t="str">
        <f t="shared" si="27"/>
        <v>Active</v>
      </c>
    </row>
    <row r="199" spans="1:20" x14ac:dyDescent="0.25">
      <c r="A199">
        <v>198</v>
      </c>
      <c r="B199" t="s">
        <v>13</v>
      </c>
      <c r="C199">
        <v>43</v>
      </c>
      <c r="D199" t="s">
        <v>50</v>
      </c>
      <c r="E199">
        <v>6.5</v>
      </c>
      <c r="F199">
        <v>6</v>
      </c>
      <c r="G199">
        <v>45</v>
      </c>
      <c r="H199">
        <v>7</v>
      </c>
      <c r="I199" t="s">
        <v>15</v>
      </c>
      <c r="J199" t="s">
        <v>45</v>
      </c>
      <c r="K199">
        <v>72</v>
      </c>
      <c r="L199">
        <v>6000</v>
      </c>
      <c r="M199" t="s">
        <v>25</v>
      </c>
      <c r="N199" t="str">
        <f t="shared" si="21"/>
        <v>Adult</v>
      </c>
      <c r="O199" t="str">
        <f t="shared" si="22"/>
        <v>Okay Sleep</v>
      </c>
      <c r="P199" t="str">
        <f t="shared" si="23"/>
        <v>Not Good Enough</v>
      </c>
      <c r="Q199" t="str">
        <f t="shared" si="24"/>
        <v>High</v>
      </c>
      <c r="R199" t="str">
        <f t="shared" si="25"/>
        <v>HP Stage 1</v>
      </c>
      <c r="S199" t="str">
        <f t="shared" si="26"/>
        <v>Average</v>
      </c>
      <c r="T199" t="str">
        <f t="shared" si="27"/>
        <v>Active</v>
      </c>
    </row>
    <row r="200" spans="1:20" x14ac:dyDescent="0.25">
      <c r="A200">
        <v>199</v>
      </c>
      <c r="B200" t="s">
        <v>13</v>
      </c>
      <c r="C200">
        <v>43</v>
      </c>
      <c r="D200" t="s">
        <v>50</v>
      </c>
      <c r="E200">
        <v>6.5</v>
      </c>
      <c r="F200">
        <v>6</v>
      </c>
      <c r="G200">
        <v>45</v>
      </c>
      <c r="H200">
        <v>7</v>
      </c>
      <c r="I200" t="s">
        <v>15</v>
      </c>
      <c r="J200" t="s">
        <v>45</v>
      </c>
      <c r="K200">
        <v>72</v>
      </c>
      <c r="L200">
        <v>6000</v>
      </c>
      <c r="M200" t="s">
        <v>25</v>
      </c>
      <c r="N200" t="str">
        <f t="shared" si="21"/>
        <v>Adult</v>
      </c>
      <c r="O200" t="str">
        <f t="shared" si="22"/>
        <v>Okay Sleep</v>
      </c>
      <c r="P200" t="str">
        <f t="shared" si="23"/>
        <v>Not Good Enough</v>
      </c>
      <c r="Q200" t="str">
        <f t="shared" si="24"/>
        <v>High</v>
      </c>
      <c r="R200" t="str">
        <f t="shared" si="25"/>
        <v>HP Stage 1</v>
      </c>
      <c r="S200" t="str">
        <f t="shared" si="26"/>
        <v>Average</v>
      </c>
      <c r="T200" t="str">
        <f t="shared" si="27"/>
        <v>Active</v>
      </c>
    </row>
    <row r="201" spans="1:20" x14ac:dyDescent="0.25">
      <c r="A201">
        <v>200</v>
      </c>
      <c r="B201" t="s">
        <v>13</v>
      </c>
      <c r="C201">
        <v>43</v>
      </c>
      <c r="D201" t="s">
        <v>50</v>
      </c>
      <c r="E201">
        <v>6.5</v>
      </c>
      <c r="F201">
        <v>6</v>
      </c>
      <c r="G201">
        <v>45</v>
      </c>
      <c r="H201">
        <v>7</v>
      </c>
      <c r="I201" t="s">
        <v>15</v>
      </c>
      <c r="J201" t="s">
        <v>45</v>
      </c>
      <c r="K201">
        <v>72</v>
      </c>
      <c r="L201">
        <v>6000</v>
      </c>
      <c r="M201" t="s">
        <v>25</v>
      </c>
      <c r="N201" t="str">
        <f t="shared" si="21"/>
        <v>Adult</v>
      </c>
      <c r="O201" t="str">
        <f t="shared" si="22"/>
        <v>Okay Sleep</v>
      </c>
      <c r="P201" t="str">
        <f t="shared" si="23"/>
        <v>Not Good Enough</v>
      </c>
      <c r="Q201" t="str">
        <f t="shared" si="24"/>
        <v>High</v>
      </c>
      <c r="R201" t="str">
        <f t="shared" si="25"/>
        <v>HP Stage 1</v>
      </c>
      <c r="S201" t="str">
        <f t="shared" si="26"/>
        <v>Average</v>
      </c>
      <c r="T201" t="str">
        <f t="shared" si="27"/>
        <v>Active</v>
      </c>
    </row>
    <row r="202" spans="1:20" x14ac:dyDescent="0.25">
      <c r="A202">
        <v>201</v>
      </c>
      <c r="B202" t="s">
        <v>13</v>
      </c>
      <c r="C202">
        <v>43</v>
      </c>
      <c r="D202" t="s">
        <v>50</v>
      </c>
      <c r="E202">
        <v>6.5</v>
      </c>
      <c r="F202">
        <v>6</v>
      </c>
      <c r="G202">
        <v>45</v>
      </c>
      <c r="H202">
        <v>7</v>
      </c>
      <c r="I202" t="s">
        <v>15</v>
      </c>
      <c r="J202" t="s">
        <v>45</v>
      </c>
      <c r="K202">
        <v>72</v>
      </c>
      <c r="L202">
        <v>6000</v>
      </c>
      <c r="M202" t="s">
        <v>25</v>
      </c>
      <c r="N202" t="str">
        <f t="shared" si="21"/>
        <v>Adult</v>
      </c>
      <c r="O202" t="str">
        <f t="shared" si="22"/>
        <v>Okay Sleep</v>
      </c>
      <c r="P202" t="str">
        <f t="shared" si="23"/>
        <v>Not Good Enough</v>
      </c>
      <c r="Q202" t="str">
        <f t="shared" si="24"/>
        <v>High</v>
      </c>
      <c r="R202" t="str">
        <f t="shared" si="25"/>
        <v>HP Stage 1</v>
      </c>
      <c r="S202" t="str">
        <f t="shared" si="26"/>
        <v>Average</v>
      </c>
      <c r="T202" t="str">
        <f t="shared" si="27"/>
        <v>Active</v>
      </c>
    </row>
    <row r="203" spans="1:20" x14ac:dyDescent="0.25">
      <c r="A203">
        <v>202</v>
      </c>
      <c r="B203" t="s">
        <v>13</v>
      </c>
      <c r="C203">
        <v>43</v>
      </c>
      <c r="D203" t="s">
        <v>34</v>
      </c>
      <c r="E203">
        <v>7.8</v>
      </c>
      <c r="F203">
        <v>8</v>
      </c>
      <c r="G203">
        <v>90</v>
      </c>
      <c r="H203">
        <v>5</v>
      </c>
      <c r="I203" t="s">
        <v>19</v>
      </c>
      <c r="J203" t="s">
        <v>45</v>
      </c>
      <c r="K203">
        <v>70</v>
      </c>
      <c r="L203">
        <v>8000</v>
      </c>
      <c r="M203" t="s">
        <v>25</v>
      </c>
      <c r="N203" t="str">
        <f t="shared" si="21"/>
        <v>Adult</v>
      </c>
      <c r="O203" t="str">
        <f t="shared" si="22"/>
        <v>Well Rested</v>
      </c>
      <c r="P203" t="str">
        <f t="shared" si="23"/>
        <v>Very High</v>
      </c>
      <c r="Q203" t="str">
        <f t="shared" si="24"/>
        <v>Mid</v>
      </c>
      <c r="R203" t="str">
        <f t="shared" si="25"/>
        <v>HP Stage 1</v>
      </c>
      <c r="S203" t="str">
        <f t="shared" si="26"/>
        <v>Average</v>
      </c>
      <c r="T203" t="str">
        <f t="shared" si="27"/>
        <v>Highly Active</v>
      </c>
    </row>
    <row r="204" spans="1:20" x14ac:dyDescent="0.25">
      <c r="A204">
        <v>203</v>
      </c>
      <c r="B204" t="s">
        <v>13</v>
      </c>
      <c r="C204">
        <v>43</v>
      </c>
      <c r="D204" t="s">
        <v>34</v>
      </c>
      <c r="E204">
        <v>7.8</v>
      </c>
      <c r="F204">
        <v>8</v>
      </c>
      <c r="G204">
        <v>90</v>
      </c>
      <c r="H204">
        <v>5</v>
      </c>
      <c r="I204" t="s">
        <v>19</v>
      </c>
      <c r="J204" t="s">
        <v>45</v>
      </c>
      <c r="K204">
        <v>70</v>
      </c>
      <c r="L204">
        <v>8000</v>
      </c>
      <c r="M204" t="s">
        <v>25</v>
      </c>
      <c r="N204" t="str">
        <f t="shared" si="21"/>
        <v>Adult</v>
      </c>
      <c r="O204" t="str">
        <f t="shared" si="22"/>
        <v>Well Rested</v>
      </c>
      <c r="P204" t="str">
        <f t="shared" si="23"/>
        <v>Very High</v>
      </c>
      <c r="Q204" t="str">
        <f t="shared" si="24"/>
        <v>Mid</v>
      </c>
      <c r="R204" t="str">
        <f t="shared" si="25"/>
        <v>HP Stage 1</v>
      </c>
      <c r="S204" t="str">
        <f t="shared" si="26"/>
        <v>Average</v>
      </c>
      <c r="T204" t="str">
        <f t="shared" si="27"/>
        <v>Highly Active</v>
      </c>
    </row>
    <row r="205" spans="1:20" x14ac:dyDescent="0.25">
      <c r="A205">
        <v>204</v>
      </c>
      <c r="B205" t="s">
        <v>13</v>
      </c>
      <c r="C205">
        <v>43</v>
      </c>
      <c r="D205" t="s">
        <v>34</v>
      </c>
      <c r="E205">
        <v>6.9</v>
      </c>
      <c r="F205">
        <v>6</v>
      </c>
      <c r="G205">
        <v>47</v>
      </c>
      <c r="H205">
        <v>7</v>
      </c>
      <c r="I205" t="s">
        <v>30</v>
      </c>
      <c r="J205" t="s">
        <v>33</v>
      </c>
      <c r="K205">
        <v>69</v>
      </c>
      <c r="L205">
        <v>6800</v>
      </c>
      <c r="M205" t="s">
        <v>17</v>
      </c>
      <c r="N205" t="str">
        <f t="shared" si="21"/>
        <v>Adult</v>
      </c>
      <c r="O205" t="str">
        <f t="shared" si="22"/>
        <v>Okay Sleep</v>
      </c>
      <c r="P205" t="str">
        <f t="shared" si="23"/>
        <v>Not Good Enough</v>
      </c>
      <c r="Q205" t="str">
        <f t="shared" si="24"/>
        <v>High</v>
      </c>
      <c r="R205" t="str">
        <f t="shared" si="25"/>
        <v>Normal</v>
      </c>
      <c r="S205" t="str">
        <f t="shared" si="26"/>
        <v>Good</v>
      </c>
      <c r="T205" t="str">
        <f t="shared" si="27"/>
        <v>Active</v>
      </c>
    </row>
    <row r="206" spans="1:20" x14ac:dyDescent="0.25">
      <c r="A206">
        <v>205</v>
      </c>
      <c r="B206" t="s">
        <v>13</v>
      </c>
      <c r="C206">
        <v>43</v>
      </c>
      <c r="D206" t="s">
        <v>34</v>
      </c>
      <c r="E206">
        <v>7.6</v>
      </c>
      <c r="F206">
        <v>8</v>
      </c>
      <c r="G206">
        <v>75</v>
      </c>
      <c r="H206">
        <v>4</v>
      </c>
      <c r="I206" t="s">
        <v>15</v>
      </c>
      <c r="J206" t="s">
        <v>52</v>
      </c>
      <c r="K206">
        <v>68</v>
      </c>
      <c r="L206">
        <v>6800</v>
      </c>
      <c r="M206" t="s">
        <v>17</v>
      </c>
      <c r="N206" t="str">
        <f t="shared" si="21"/>
        <v>Adult</v>
      </c>
      <c r="O206" t="str">
        <f t="shared" si="22"/>
        <v>Well Rested</v>
      </c>
      <c r="P206" t="str">
        <f t="shared" si="23"/>
        <v>High</v>
      </c>
      <c r="Q206" t="str">
        <f t="shared" si="24"/>
        <v>Low</v>
      </c>
      <c r="R206" t="str">
        <f t="shared" si="25"/>
        <v>Elevated</v>
      </c>
      <c r="S206" t="str">
        <f t="shared" si="26"/>
        <v>Good</v>
      </c>
      <c r="T206" t="str">
        <f t="shared" si="27"/>
        <v>Active</v>
      </c>
    </row>
    <row r="207" spans="1:20" x14ac:dyDescent="0.25">
      <c r="A207">
        <v>206</v>
      </c>
      <c r="B207" t="s">
        <v>13</v>
      </c>
      <c r="C207">
        <v>43</v>
      </c>
      <c r="D207" t="s">
        <v>34</v>
      </c>
      <c r="E207">
        <v>7.7</v>
      </c>
      <c r="F207">
        <v>8</v>
      </c>
      <c r="G207">
        <v>90</v>
      </c>
      <c r="H207">
        <v>5</v>
      </c>
      <c r="I207" t="s">
        <v>19</v>
      </c>
      <c r="J207" t="s">
        <v>45</v>
      </c>
      <c r="K207">
        <v>70</v>
      </c>
      <c r="L207">
        <v>8000</v>
      </c>
      <c r="M207" t="s">
        <v>17</v>
      </c>
      <c r="N207" t="str">
        <f t="shared" si="21"/>
        <v>Adult</v>
      </c>
      <c r="O207" t="str">
        <f t="shared" si="22"/>
        <v>Well Rested</v>
      </c>
      <c r="P207" t="str">
        <f t="shared" si="23"/>
        <v>Very High</v>
      </c>
      <c r="Q207" t="str">
        <f t="shared" si="24"/>
        <v>Mid</v>
      </c>
      <c r="R207" t="str">
        <f t="shared" si="25"/>
        <v>HP Stage 1</v>
      </c>
      <c r="S207" t="str">
        <f t="shared" si="26"/>
        <v>Average</v>
      </c>
      <c r="T207" t="str">
        <f t="shared" si="27"/>
        <v>Highly Active</v>
      </c>
    </row>
    <row r="208" spans="1:20" x14ac:dyDescent="0.25">
      <c r="A208">
        <v>207</v>
      </c>
      <c r="B208" t="s">
        <v>13</v>
      </c>
      <c r="C208">
        <v>43</v>
      </c>
      <c r="D208" t="s">
        <v>34</v>
      </c>
      <c r="E208">
        <v>7.7</v>
      </c>
      <c r="F208">
        <v>8</v>
      </c>
      <c r="G208">
        <v>90</v>
      </c>
      <c r="H208">
        <v>5</v>
      </c>
      <c r="I208" t="s">
        <v>19</v>
      </c>
      <c r="J208" t="s">
        <v>45</v>
      </c>
      <c r="K208">
        <v>70</v>
      </c>
      <c r="L208">
        <v>8000</v>
      </c>
      <c r="M208" t="s">
        <v>17</v>
      </c>
      <c r="N208" t="str">
        <f t="shared" si="21"/>
        <v>Adult</v>
      </c>
      <c r="O208" t="str">
        <f t="shared" si="22"/>
        <v>Well Rested</v>
      </c>
      <c r="P208" t="str">
        <f t="shared" si="23"/>
        <v>Very High</v>
      </c>
      <c r="Q208" t="str">
        <f t="shared" si="24"/>
        <v>Mid</v>
      </c>
      <c r="R208" t="str">
        <f t="shared" si="25"/>
        <v>HP Stage 1</v>
      </c>
      <c r="S208" t="str">
        <f t="shared" si="26"/>
        <v>Average</v>
      </c>
      <c r="T208" t="str">
        <f t="shared" si="27"/>
        <v>Highly Active</v>
      </c>
    </row>
    <row r="209" spans="1:20" x14ac:dyDescent="0.25">
      <c r="A209">
        <v>208</v>
      </c>
      <c r="B209" t="s">
        <v>13</v>
      </c>
      <c r="C209">
        <v>43</v>
      </c>
      <c r="D209" t="s">
        <v>34</v>
      </c>
      <c r="E209">
        <v>7.7</v>
      </c>
      <c r="F209">
        <v>8</v>
      </c>
      <c r="G209">
        <v>90</v>
      </c>
      <c r="H209">
        <v>5</v>
      </c>
      <c r="I209" t="s">
        <v>19</v>
      </c>
      <c r="J209" t="s">
        <v>45</v>
      </c>
      <c r="K209">
        <v>70</v>
      </c>
      <c r="L209">
        <v>8000</v>
      </c>
      <c r="M209" t="s">
        <v>17</v>
      </c>
      <c r="N209" t="str">
        <f t="shared" si="21"/>
        <v>Adult</v>
      </c>
      <c r="O209" t="str">
        <f t="shared" si="22"/>
        <v>Well Rested</v>
      </c>
      <c r="P209" t="str">
        <f t="shared" si="23"/>
        <v>Very High</v>
      </c>
      <c r="Q209" t="str">
        <f t="shared" si="24"/>
        <v>Mid</v>
      </c>
      <c r="R209" t="str">
        <f t="shared" si="25"/>
        <v>HP Stage 1</v>
      </c>
      <c r="S209" t="str">
        <f t="shared" si="26"/>
        <v>Average</v>
      </c>
      <c r="T209" t="str">
        <f t="shared" si="27"/>
        <v>Highly Active</v>
      </c>
    </row>
    <row r="210" spans="1:20" x14ac:dyDescent="0.25">
      <c r="A210">
        <v>209</v>
      </c>
      <c r="B210" t="s">
        <v>13</v>
      </c>
      <c r="C210">
        <v>43</v>
      </c>
      <c r="D210" t="s">
        <v>34</v>
      </c>
      <c r="E210">
        <v>7.7</v>
      </c>
      <c r="F210">
        <v>8</v>
      </c>
      <c r="G210">
        <v>90</v>
      </c>
      <c r="H210">
        <v>5</v>
      </c>
      <c r="I210" t="s">
        <v>19</v>
      </c>
      <c r="J210" t="s">
        <v>45</v>
      </c>
      <c r="K210">
        <v>70</v>
      </c>
      <c r="L210">
        <v>8000</v>
      </c>
      <c r="M210" t="s">
        <v>17</v>
      </c>
      <c r="N210" t="str">
        <f t="shared" si="21"/>
        <v>Adult</v>
      </c>
      <c r="O210" t="str">
        <f t="shared" si="22"/>
        <v>Well Rested</v>
      </c>
      <c r="P210" t="str">
        <f t="shared" si="23"/>
        <v>Very High</v>
      </c>
      <c r="Q210" t="str">
        <f t="shared" si="24"/>
        <v>Mid</v>
      </c>
      <c r="R210" t="str">
        <f t="shared" si="25"/>
        <v>HP Stage 1</v>
      </c>
      <c r="S210" t="str">
        <f t="shared" si="26"/>
        <v>Average</v>
      </c>
      <c r="T210" t="str">
        <f t="shared" si="27"/>
        <v>Highly Active</v>
      </c>
    </row>
    <row r="211" spans="1:20" x14ac:dyDescent="0.25">
      <c r="A211">
        <v>210</v>
      </c>
      <c r="B211" t="s">
        <v>13</v>
      </c>
      <c r="C211">
        <v>43</v>
      </c>
      <c r="D211" t="s">
        <v>34</v>
      </c>
      <c r="E211">
        <v>7.8</v>
      </c>
      <c r="F211">
        <v>8</v>
      </c>
      <c r="G211">
        <v>90</v>
      </c>
      <c r="H211">
        <v>5</v>
      </c>
      <c r="I211" t="s">
        <v>19</v>
      </c>
      <c r="J211" t="s">
        <v>45</v>
      </c>
      <c r="K211">
        <v>70</v>
      </c>
      <c r="L211">
        <v>8000</v>
      </c>
      <c r="M211" t="s">
        <v>17</v>
      </c>
      <c r="N211" t="str">
        <f t="shared" si="21"/>
        <v>Adult</v>
      </c>
      <c r="O211" t="str">
        <f t="shared" si="22"/>
        <v>Well Rested</v>
      </c>
      <c r="P211" t="str">
        <f t="shared" si="23"/>
        <v>Very High</v>
      </c>
      <c r="Q211" t="str">
        <f t="shared" si="24"/>
        <v>Mid</v>
      </c>
      <c r="R211" t="str">
        <f t="shared" si="25"/>
        <v>HP Stage 1</v>
      </c>
      <c r="S211" t="str">
        <f t="shared" si="26"/>
        <v>Average</v>
      </c>
      <c r="T211" t="str">
        <f t="shared" si="27"/>
        <v>Highly Active</v>
      </c>
    </row>
    <row r="212" spans="1:20" x14ac:dyDescent="0.25">
      <c r="A212">
        <v>211</v>
      </c>
      <c r="B212" t="s">
        <v>13</v>
      </c>
      <c r="C212">
        <v>43</v>
      </c>
      <c r="D212" t="s">
        <v>34</v>
      </c>
      <c r="E212">
        <v>7.7</v>
      </c>
      <c r="F212">
        <v>8</v>
      </c>
      <c r="G212">
        <v>90</v>
      </c>
      <c r="H212">
        <v>5</v>
      </c>
      <c r="I212" t="s">
        <v>19</v>
      </c>
      <c r="J212" t="s">
        <v>45</v>
      </c>
      <c r="K212">
        <v>70</v>
      </c>
      <c r="L212">
        <v>8000</v>
      </c>
      <c r="M212" t="s">
        <v>17</v>
      </c>
      <c r="N212" t="str">
        <f t="shared" si="21"/>
        <v>Adult</v>
      </c>
      <c r="O212" t="str">
        <f t="shared" si="22"/>
        <v>Well Rested</v>
      </c>
      <c r="P212" t="str">
        <f t="shared" si="23"/>
        <v>Very High</v>
      </c>
      <c r="Q212" t="str">
        <f t="shared" si="24"/>
        <v>Mid</v>
      </c>
      <c r="R212" t="str">
        <f t="shared" si="25"/>
        <v>HP Stage 1</v>
      </c>
      <c r="S212" t="str">
        <f t="shared" si="26"/>
        <v>Average</v>
      </c>
      <c r="T212" t="str">
        <f t="shared" si="27"/>
        <v>Highly Active</v>
      </c>
    </row>
    <row r="213" spans="1:20" x14ac:dyDescent="0.25">
      <c r="A213">
        <v>212</v>
      </c>
      <c r="B213" t="s">
        <v>13</v>
      </c>
      <c r="C213">
        <v>43</v>
      </c>
      <c r="D213" t="s">
        <v>34</v>
      </c>
      <c r="E213">
        <v>7.8</v>
      </c>
      <c r="F213">
        <v>8</v>
      </c>
      <c r="G213">
        <v>90</v>
      </c>
      <c r="H213">
        <v>5</v>
      </c>
      <c r="I213" t="s">
        <v>19</v>
      </c>
      <c r="J213" t="s">
        <v>45</v>
      </c>
      <c r="K213">
        <v>70</v>
      </c>
      <c r="L213">
        <v>8000</v>
      </c>
      <c r="M213" t="s">
        <v>17</v>
      </c>
      <c r="N213" t="str">
        <f t="shared" si="21"/>
        <v>Adult</v>
      </c>
      <c r="O213" t="str">
        <f t="shared" si="22"/>
        <v>Well Rested</v>
      </c>
      <c r="P213" t="str">
        <f t="shared" si="23"/>
        <v>Very High</v>
      </c>
      <c r="Q213" t="str">
        <f t="shared" si="24"/>
        <v>Mid</v>
      </c>
      <c r="R213" t="str">
        <f t="shared" si="25"/>
        <v>HP Stage 1</v>
      </c>
      <c r="S213" t="str">
        <f t="shared" si="26"/>
        <v>Average</v>
      </c>
      <c r="T213" t="str">
        <f t="shared" si="27"/>
        <v>Highly Active</v>
      </c>
    </row>
    <row r="214" spans="1:20" x14ac:dyDescent="0.25">
      <c r="A214">
        <v>213</v>
      </c>
      <c r="B214" t="s">
        <v>13</v>
      </c>
      <c r="C214">
        <v>43</v>
      </c>
      <c r="D214" t="s">
        <v>34</v>
      </c>
      <c r="E214">
        <v>7.8</v>
      </c>
      <c r="F214">
        <v>8</v>
      </c>
      <c r="G214">
        <v>90</v>
      </c>
      <c r="H214">
        <v>5</v>
      </c>
      <c r="I214" t="s">
        <v>19</v>
      </c>
      <c r="J214" t="s">
        <v>45</v>
      </c>
      <c r="K214">
        <v>70</v>
      </c>
      <c r="L214">
        <v>8000</v>
      </c>
      <c r="M214" t="s">
        <v>17</v>
      </c>
      <c r="N214" t="str">
        <f t="shared" si="21"/>
        <v>Adult</v>
      </c>
      <c r="O214" t="str">
        <f t="shared" si="22"/>
        <v>Well Rested</v>
      </c>
      <c r="P214" t="str">
        <f t="shared" si="23"/>
        <v>Very High</v>
      </c>
      <c r="Q214" t="str">
        <f t="shared" si="24"/>
        <v>Mid</v>
      </c>
      <c r="R214" t="str">
        <f t="shared" si="25"/>
        <v>HP Stage 1</v>
      </c>
      <c r="S214" t="str">
        <f t="shared" si="26"/>
        <v>Average</v>
      </c>
      <c r="T214" t="str">
        <f t="shared" si="27"/>
        <v>Highly Active</v>
      </c>
    </row>
    <row r="215" spans="1:20" x14ac:dyDescent="0.25">
      <c r="A215">
        <v>214</v>
      </c>
      <c r="B215" t="s">
        <v>13</v>
      </c>
      <c r="C215">
        <v>43</v>
      </c>
      <c r="D215" t="s">
        <v>34</v>
      </c>
      <c r="E215">
        <v>7.8</v>
      </c>
      <c r="F215">
        <v>8</v>
      </c>
      <c r="G215">
        <v>90</v>
      </c>
      <c r="H215">
        <v>5</v>
      </c>
      <c r="I215" t="s">
        <v>19</v>
      </c>
      <c r="J215" t="s">
        <v>45</v>
      </c>
      <c r="K215">
        <v>70</v>
      </c>
      <c r="L215">
        <v>8000</v>
      </c>
      <c r="M215" t="s">
        <v>17</v>
      </c>
      <c r="N215" t="str">
        <f t="shared" si="21"/>
        <v>Adult</v>
      </c>
      <c r="O215" t="str">
        <f t="shared" si="22"/>
        <v>Well Rested</v>
      </c>
      <c r="P215" t="str">
        <f t="shared" si="23"/>
        <v>Very High</v>
      </c>
      <c r="Q215" t="str">
        <f t="shared" si="24"/>
        <v>Mid</v>
      </c>
      <c r="R215" t="str">
        <f t="shared" si="25"/>
        <v>HP Stage 1</v>
      </c>
      <c r="S215" t="str">
        <f t="shared" si="26"/>
        <v>Average</v>
      </c>
      <c r="T215" t="str">
        <f t="shared" si="27"/>
        <v>Highly Active</v>
      </c>
    </row>
    <row r="216" spans="1:20" x14ac:dyDescent="0.25">
      <c r="A216">
        <v>215</v>
      </c>
      <c r="B216" t="s">
        <v>13</v>
      </c>
      <c r="C216">
        <v>43</v>
      </c>
      <c r="D216" t="s">
        <v>34</v>
      </c>
      <c r="E216">
        <v>7.8</v>
      </c>
      <c r="F216">
        <v>8</v>
      </c>
      <c r="G216">
        <v>90</v>
      </c>
      <c r="H216">
        <v>5</v>
      </c>
      <c r="I216" t="s">
        <v>19</v>
      </c>
      <c r="J216" t="s">
        <v>45</v>
      </c>
      <c r="K216">
        <v>70</v>
      </c>
      <c r="L216">
        <v>8000</v>
      </c>
      <c r="M216" t="s">
        <v>17</v>
      </c>
      <c r="N216" t="str">
        <f t="shared" si="21"/>
        <v>Adult</v>
      </c>
      <c r="O216" t="str">
        <f t="shared" si="22"/>
        <v>Well Rested</v>
      </c>
      <c r="P216" t="str">
        <f t="shared" si="23"/>
        <v>Very High</v>
      </c>
      <c r="Q216" t="str">
        <f t="shared" si="24"/>
        <v>Mid</v>
      </c>
      <c r="R216" t="str">
        <f t="shared" si="25"/>
        <v>HP Stage 1</v>
      </c>
      <c r="S216" t="str">
        <f t="shared" si="26"/>
        <v>Average</v>
      </c>
      <c r="T216" t="str">
        <f t="shared" si="27"/>
        <v>Highly Active</v>
      </c>
    </row>
    <row r="217" spans="1:20" x14ac:dyDescent="0.25">
      <c r="A217">
        <v>216</v>
      </c>
      <c r="B217" t="s">
        <v>13</v>
      </c>
      <c r="C217">
        <v>43</v>
      </c>
      <c r="D217" t="s">
        <v>34</v>
      </c>
      <c r="E217">
        <v>7.8</v>
      </c>
      <c r="F217">
        <v>8</v>
      </c>
      <c r="G217">
        <v>90</v>
      </c>
      <c r="H217">
        <v>5</v>
      </c>
      <c r="I217" t="s">
        <v>19</v>
      </c>
      <c r="J217" t="s">
        <v>45</v>
      </c>
      <c r="K217">
        <v>70</v>
      </c>
      <c r="L217">
        <v>8000</v>
      </c>
      <c r="M217" t="s">
        <v>17</v>
      </c>
      <c r="N217" t="str">
        <f t="shared" si="21"/>
        <v>Adult</v>
      </c>
      <c r="O217" t="str">
        <f t="shared" si="22"/>
        <v>Well Rested</v>
      </c>
      <c r="P217" t="str">
        <f t="shared" si="23"/>
        <v>Very High</v>
      </c>
      <c r="Q217" t="str">
        <f t="shared" si="24"/>
        <v>Mid</v>
      </c>
      <c r="R217" t="str">
        <f t="shared" si="25"/>
        <v>HP Stage 1</v>
      </c>
      <c r="S217" t="str">
        <f t="shared" si="26"/>
        <v>Average</v>
      </c>
      <c r="T217" t="str">
        <f t="shared" si="27"/>
        <v>Highly Active</v>
      </c>
    </row>
    <row r="218" spans="1:20" x14ac:dyDescent="0.25">
      <c r="A218">
        <v>217</v>
      </c>
      <c r="B218" t="s">
        <v>13</v>
      </c>
      <c r="C218">
        <v>43</v>
      </c>
      <c r="D218" t="s">
        <v>34</v>
      </c>
      <c r="E218">
        <v>7.8</v>
      </c>
      <c r="F218">
        <v>8</v>
      </c>
      <c r="G218">
        <v>90</v>
      </c>
      <c r="H218">
        <v>5</v>
      </c>
      <c r="I218" t="s">
        <v>19</v>
      </c>
      <c r="J218" t="s">
        <v>45</v>
      </c>
      <c r="K218">
        <v>70</v>
      </c>
      <c r="L218">
        <v>8000</v>
      </c>
      <c r="M218" t="s">
        <v>17</v>
      </c>
      <c r="N218" t="str">
        <f t="shared" si="21"/>
        <v>Adult</v>
      </c>
      <c r="O218" t="str">
        <f t="shared" si="22"/>
        <v>Well Rested</v>
      </c>
      <c r="P218" t="str">
        <f t="shared" si="23"/>
        <v>Very High</v>
      </c>
      <c r="Q218" t="str">
        <f t="shared" si="24"/>
        <v>Mid</v>
      </c>
      <c r="R218" t="str">
        <f t="shared" si="25"/>
        <v>HP Stage 1</v>
      </c>
      <c r="S218" t="str">
        <f t="shared" si="26"/>
        <v>Average</v>
      </c>
      <c r="T218" t="str">
        <f t="shared" si="27"/>
        <v>Highly Active</v>
      </c>
    </row>
    <row r="219" spans="1:20" x14ac:dyDescent="0.25">
      <c r="A219">
        <v>218</v>
      </c>
      <c r="B219" t="s">
        <v>13</v>
      </c>
      <c r="C219">
        <v>43</v>
      </c>
      <c r="D219" t="s">
        <v>34</v>
      </c>
      <c r="E219">
        <v>7.8</v>
      </c>
      <c r="F219">
        <v>8</v>
      </c>
      <c r="G219">
        <v>90</v>
      </c>
      <c r="H219">
        <v>5</v>
      </c>
      <c r="I219" t="s">
        <v>19</v>
      </c>
      <c r="J219" t="s">
        <v>45</v>
      </c>
      <c r="K219">
        <v>70</v>
      </c>
      <c r="L219">
        <v>8000</v>
      </c>
      <c r="M219" t="s">
        <v>17</v>
      </c>
      <c r="N219" t="str">
        <f t="shared" si="21"/>
        <v>Adult</v>
      </c>
      <c r="O219" t="str">
        <f t="shared" si="22"/>
        <v>Well Rested</v>
      </c>
      <c r="P219" t="str">
        <f t="shared" si="23"/>
        <v>Very High</v>
      </c>
      <c r="Q219" t="str">
        <f t="shared" si="24"/>
        <v>Mid</v>
      </c>
      <c r="R219" t="str">
        <f t="shared" si="25"/>
        <v>HP Stage 1</v>
      </c>
      <c r="S219" t="str">
        <f t="shared" si="26"/>
        <v>Average</v>
      </c>
      <c r="T219" t="str">
        <f t="shared" si="27"/>
        <v>Highly Active</v>
      </c>
    </row>
    <row r="220" spans="1:20" x14ac:dyDescent="0.25">
      <c r="A220">
        <v>219</v>
      </c>
      <c r="B220" t="s">
        <v>13</v>
      </c>
      <c r="C220">
        <v>43</v>
      </c>
      <c r="D220" t="s">
        <v>34</v>
      </c>
      <c r="E220">
        <v>7.8</v>
      </c>
      <c r="F220">
        <v>8</v>
      </c>
      <c r="G220">
        <v>90</v>
      </c>
      <c r="H220">
        <v>5</v>
      </c>
      <c r="I220" t="s">
        <v>19</v>
      </c>
      <c r="J220" t="s">
        <v>45</v>
      </c>
      <c r="K220">
        <v>70</v>
      </c>
      <c r="L220">
        <v>8000</v>
      </c>
      <c r="M220" t="s">
        <v>24</v>
      </c>
      <c r="N220" t="str">
        <f t="shared" si="21"/>
        <v>Adult</v>
      </c>
      <c r="O220" t="str">
        <f t="shared" si="22"/>
        <v>Well Rested</v>
      </c>
      <c r="P220" t="str">
        <f t="shared" si="23"/>
        <v>Very High</v>
      </c>
      <c r="Q220" t="str">
        <f t="shared" si="24"/>
        <v>Mid</v>
      </c>
      <c r="R220" t="str">
        <f t="shared" si="25"/>
        <v>HP Stage 1</v>
      </c>
      <c r="S220" t="str">
        <f t="shared" si="26"/>
        <v>Average</v>
      </c>
      <c r="T220" t="str">
        <f t="shared" si="27"/>
        <v>Highly Active</v>
      </c>
    </row>
    <row r="221" spans="1:20" x14ac:dyDescent="0.25">
      <c r="A221">
        <v>220</v>
      </c>
      <c r="B221" t="s">
        <v>13</v>
      </c>
      <c r="C221">
        <v>43</v>
      </c>
      <c r="D221" t="s">
        <v>50</v>
      </c>
      <c r="E221">
        <v>6.5</v>
      </c>
      <c r="F221">
        <v>6</v>
      </c>
      <c r="G221">
        <v>45</v>
      </c>
      <c r="H221">
        <v>7</v>
      </c>
      <c r="I221" t="s">
        <v>15</v>
      </c>
      <c r="J221" t="s">
        <v>45</v>
      </c>
      <c r="K221">
        <v>72</v>
      </c>
      <c r="L221">
        <v>6000</v>
      </c>
      <c r="M221" t="s">
        <v>24</v>
      </c>
      <c r="N221" t="str">
        <f t="shared" si="21"/>
        <v>Adult</v>
      </c>
      <c r="O221" t="str">
        <f t="shared" si="22"/>
        <v>Okay Sleep</v>
      </c>
      <c r="P221" t="str">
        <f t="shared" si="23"/>
        <v>Not Good Enough</v>
      </c>
      <c r="Q221" t="str">
        <f t="shared" si="24"/>
        <v>High</v>
      </c>
      <c r="R221" t="str">
        <f t="shared" si="25"/>
        <v>HP Stage 1</v>
      </c>
      <c r="S221" t="str">
        <f t="shared" si="26"/>
        <v>Average</v>
      </c>
      <c r="T221" t="str">
        <f t="shared" si="27"/>
        <v>Active</v>
      </c>
    </row>
    <row r="222" spans="1:20" x14ac:dyDescent="0.25">
      <c r="A222">
        <v>221</v>
      </c>
      <c r="B222" t="s">
        <v>28</v>
      </c>
      <c r="C222">
        <v>44</v>
      </c>
      <c r="D222" t="s">
        <v>26</v>
      </c>
      <c r="E222">
        <v>6.6</v>
      </c>
      <c r="F222">
        <v>7</v>
      </c>
      <c r="G222">
        <v>45</v>
      </c>
      <c r="H222">
        <v>4</v>
      </c>
      <c r="I222" t="s">
        <v>15</v>
      </c>
      <c r="J222" t="s">
        <v>51</v>
      </c>
      <c r="K222">
        <v>65</v>
      </c>
      <c r="L222">
        <v>6000</v>
      </c>
      <c r="M222" t="s">
        <v>25</v>
      </c>
      <c r="N222" t="str">
        <f t="shared" si="21"/>
        <v>Adult</v>
      </c>
      <c r="O222" t="str">
        <f t="shared" si="22"/>
        <v>Good Sleep</v>
      </c>
      <c r="P222" t="str">
        <f t="shared" si="23"/>
        <v>Not Good Enough</v>
      </c>
      <c r="Q222" t="str">
        <f t="shared" si="24"/>
        <v>Low</v>
      </c>
      <c r="R222" t="str">
        <f t="shared" si="25"/>
        <v>HP Stage 1</v>
      </c>
      <c r="S222" t="str">
        <f t="shared" si="26"/>
        <v>Good</v>
      </c>
      <c r="T222" t="str">
        <f t="shared" si="27"/>
        <v>Active</v>
      </c>
    </row>
    <row r="223" spans="1:20" x14ac:dyDescent="0.25">
      <c r="A223">
        <v>222</v>
      </c>
      <c r="B223" t="s">
        <v>13</v>
      </c>
      <c r="C223">
        <v>44</v>
      </c>
      <c r="D223" t="s">
        <v>50</v>
      </c>
      <c r="E223">
        <v>6.4</v>
      </c>
      <c r="F223">
        <v>6</v>
      </c>
      <c r="G223">
        <v>45</v>
      </c>
      <c r="H223">
        <v>7</v>
      </c>
      <c r="I223" t="s">
        <v>15</v>
      </c>
      <c r="J223" t="s">
        <v>45</v>
      </c>
      <c r="K223">
        <v>72</v>
      </c>
      <c r="L223">
        <v>6000</v>
      </c>
      <c r="M223" t="s">
        <v>25</v>
      </c>
      <c r="N223" t="str">
        <f t="shared" si="21"/>
        <v>Adult</v>
      </c>
      <c r="O223" t="str">
        <f t="shared" si="22"/>
        <v>Okay Sleep</v>
      </c>
      <c r="P223" t="str">
        <f t="shared" si="23"/>
        <v>Not Good Enough</v>
      </c>
      <c r="Q223" t="str">
        <f t="shared" si="24"/>
        <v>High</v>
      </c>
      <c r="R223" t="str">
        <f t="shared" si="25"/>
        <v>HP Stage 1</v>
      </c>
      <c r="S223" t="str">
        <f t="shared" si="26"/>
        <v>Average</v>
      </c>
      <c r="T223" t="str">
        <f t="shared" si="27"/>
        <v>Active</v>
      </c>
    </row>
    <row r="224" spans="1:20" x14ac:dyDescent="0.25">
      <c r="A224">
        <v>223</v>
      </c>
      <c r="B224" t="s">
        <v>13</v>
      </c>
      <c r="C224">
        <v>44</v>
      </c>
      <c r="D224" t="s">
        <v>50</v>
      </c>
      <c r="E224">
        <v>6.3</v>
      </c>
      <c r="F224">
        <v>6</v>
      </c>
      <c r="G224">
        <v>45</v>
      </c>
      <c r="H224">
        <v>7</v>
      </c>
      <c r="I224" t="s">
        <v>15</v>
      </c>
      <c r="J224" t="s">
        <v>45</v>
      </c>
      <c r="K224">
        <v>72</v>
      </c>
      <c r="L224">
        <v>6000</v>
      </c>
      <c r="M224" t="s">
        <v>25</v>
      </c>
      <c r="N224" t="str">
        <f t="shared" si="21"/>
        <v>Adult</v>
      </c>
      <c r="O224" t="str">
        <f t="shared" si="22"/>
        <v>Okay Sleep</v>
      </c>
      <c r="P224" t="str">
        <f t="shared" si="23"/>
        <v>Not Good Enough</v>
      </c>
      <c r="Q224" t="str">
        <f t="shared" si="24"/>
        <v>High</v>
      </c>
      <c r="R224" t="str">
        <f t="shared" si="25"/>
        <v>HP Stage 1</v>
      </c>
      <c r="S224" t="str">
        <f t="shared" si="26"/>
        <v>Average</v>
      </c>
      <c r="T224" t="str">
        <f t="shared" si="27"/>
        <v>Active</v>
      </c>
    </row>
    <row r="225" spans="1:20" x14ac:dyDescent="0.25">
      <c r="A225">
        <v>224</v>
      </c>
      <c r="B225" t="s">
        <v>13</v>
      </c>
      <c r="C225">
        <v>44</v>
      </c>
      <c r="D225" t="s">
        <v>50</v>
      </c>
      <c r="E225">
        <v>6.4</v>
      </c>
      <c r="F225">
        <v>6</v>
      </c>
      <c r="G225">
        <v>45</v>
      </c>
      <c r="H225">
        <v>7</v>
      </c>
      <c r="I225" t="s">
        <v>15</v>
      </c>
      <c r="J225" t="s">
        <v>45</v>
      </c>
      <c r="K225">
        <v>72</v>
      </c>
      <c r="L225">
        <v>6000</v>
      </c>
      <c r="M225" t="s">
        <v>25</v>
      </c>
      <c r="N225" t="str">
        <f t="shared" si="21"/>
        <v>Adult</v>
      </c>
      <c r="O225" t="str">
        <f t="shared" si="22"/>
        <v>Okay Sleep</v>
      </c>
      <c r="P225" t="str">
        <f t="shared" si="23"/>
        <v>Not Good Enough</v>
      </c>
      <c r="Q225" t="str">
        <f t="shared" si="24"/>
        <v>High</v>
      </c>
      <c r="R225" t="str">
        <f t="shared" si="25"/>
        <v>HP Stage 1</v>
      </c>
      <c r="S225" t="str">
        <f t="shared" si="26"/>
        <v>Average</v>
      </c>
      <c r="T225" t="str">
        <f t="shared" si="27"/>
        <v>Active</v>
      </c>
    </row>
    <row r="226" spans="1:20" x14ac:dyDescent="0.25">
      <c r="A226">
        <v>225</v>
      </c>
      <c r="B226" t="s">
        <v>28</v>
      </c>
      <c r="C226">
        <v>44</v>
      </c>
      <c r="D226" t="s">
        <v>26</v>
      </c>
      <c r="E226">
        <v>6.6</v>
      </c>
      <c r="F226">
        <v>7</v>
      </c>
      <c r="G226">
        <v>45</v>
      </c>
      <c r="H226">
        <v>4</v>
      </c>
      <c r="I226" t="s">
        <v>15</v>
      </c>
      <c r="J226" t="s">
        <v>51</v>
      </c>
      <c r="K226">
        <v>65</v>
      </c>
      <c r="L226">
        <v>6000</v>
      </c>
      <c r="M226" t="s">
        <v>25</v>
      </c>
      <c r="N226" t="str">
        <f t="shared" si="21"/>
        <v>Adult</v>
      </c>
      <c r="O226" t="str">
        <f t="shared" si="22"/>
        <v>Good Sleep</v>
      </c>
      <c r="P226" t="str">
        <f t="shared" si="23"/>
        <v>Not Good Enough</v>
      </c>
      <c r="Q226" t="str">
        <f t="shared" si="24"/>
        <v>Low</v>
      </c>
      <c r="R226" t="str">
        <f t="shared" si="25"/>
        <v>HP Stage 1</v>
      </c>
      <c r="S226" t="str">
        <f t="shared" si="26"/>
        <v>Good</v>
      </c>
      <c r="T226" t="str">
        <f t="shared" si="27"/>
        <v>Active</v>
      </c>
    </row>
    <row r="227" spans="1:20" x14ac:dyDescent="0.25">
      <c r="A227">
        <v>226</v>
      </c>
      <c r="B227" t="s">
        <v>13</v>
      </c>
      <c r="C227">
        <v>44</v>
      </c>
      <c r="D227" t="s">
        <v>50</v>
      </c>
      <c r="E227">
        <v>6.3</v>
      </c>
      <c r="F227">
        <v>6</v>
      </c>
      <c r="G227">
        <v>45</v>
      </c>
      <c r="H227">
        <v>7</v>
      </c>
      <c r="I227" t="s">
        <v>15</v>
      </c>
      <c r="J227" t="s">
        <v>45</v>
      </c>
      <c r="K227">
        <v>72</v>
      </c>
      <c r="L227">
        <v>6000</v>
      </c>
      <c r="M227" t="s">
        <v>25</v>
      </c>
      <c r="N227" t="str">
        <f t="shared" si="21"/>
        <v>Adult</v>
      </c>
      <c r="O227" t="str">
        <f t="shared" si="22"/>
        <v>Okay Sleep</v>
      </c>
      <c r="P227" t="str">
        <f t="shared" si="23"/>
        <v>Not Good Enough</v>
      </c>
      <c r="Q227" t="str">
        <f t="shared" si="24"/>
        <v>High</v>
      </c>
      <c r="R227" t="str">
        <f t="shared" si="25"/>
        <v>HP Stage 1</v>
      </c>
      <c r="S227" t="str">
        <f t="shared" si="26"/>
        <v>Average</v>
      </c>
      <c r="T227" t="str">
        <f t="shared" si="27"/>
        <v>Active</v>
      </c>
    </row>
    <row r="228" spans="1:20" x14ac:dyDescent="0.25">
      <c r="A228">
        <v>227</v>
      </c>
      <c r="B228" t="s">
        <v>28</v>
      </c>
      <c r="C228">
        <v>44</v>
      </c>
      <c r="D228" t="s">
        <v>26</v>
      </c>
      <c r="E228">
        <v>6.6</v>
      </c>
      <c r="F228">
        <v>7</v>
      </c>
      <c r="G228">
        <v>45</v>
      </c>
      <c r="H228">
        <v>4</v>
      </c>
      <c r="I228" t="s">
        <v>15</v>
      </c>
      <c r="J228" t="s">
        <v>51</v>
      </c>
      <c r="K228">
        <v>65</v>
      </c>
      <c r="L228">
        <v>6000</v>
      </c>
      <c r="M228" t="s">
        <v>25</v>
      </c>
      <c r="N228" t="str">
        <f t="shared" si="21"/>
        <v>Adult</v>
      </c>
      <c r="O228" t="str">
        <f t="shared" si="22"/>
        <v>Good Sleep</v>
      </c>
      <c r="P228" t="str">
        <f t="shared" si="23"/>
        <v>Not Good Enough</v>
      </c>
      <c r="Q228" t="str">
        <f t="shared" si="24"/>
        <v>Low</v>
      </c>
      <c r="R228" t="str">
        <f t="shared" si="25"/>
        <v>HP Stage 1</v>
      </c>
      <c r="S228" t="str">
        <f t="shared" si="26"/>
        <v>Good</v>
      </c>
      <c r="T228" t="str">
        <f t="shared" si="27"/>
        <v>Active</v>
      </c>
    </row>
    <row r="229" spans="1:20" x14ac:dyDescent="0.25">
      <c r="A229">
        <v>228</v>
      </c>
      <c r="B229" t="s">
        <v>13</v>
      </c>
      <c r="C229">
        <v>44</v>
      </c>
      <c r="D229" t="s">
        <v>50</v>
      </c>
      <c r="E229">
        <v>6.3</v>
      </c>
      <c r="F229">
        <v>6</v>
      </c>
      <c r="G229">
        <v>45</v>
      </c>
      <c r="H229">
        <v>7</v>
      </c>
      <c r="I229" t="s">
        <v>15</v>
      </c>
      <c r="J229" t="s">
        <v>45</v>
      </c>
      <c r="K229">
        <v>72</v>
      </c>
      <c r="L229">
        <v>6000</v>
      </c>
      <c r="M229" t="s">
        <v>25</v>
      </c>
      <c r="N229" t="str">
        <f t="shared" si="21"/>
        <v>Adult</v>
      </c>
      <c r="O229" t="str">
        <f t="shared" si="22"/>
        <v>Okay Sleep</v>
      </c>
      <c r="P229" t="str">
        <f t="shared" si="23"/>
        <v>Not Good Enough</v>
      </c>
      <c r="Q229" t="str">
        <f t="shared" si="24"/>
        <v>High</v>
      </c>
      <c r="R229" t="str">
        <f t="shared" si="25"/>
        <v>HP Stage 1</v>
      </c>
      <c r="S229" t="str">
        <f t="shared" si="26"/>
        <v>Average</v>
      </c>
      <c r="T229" t="str">
        <f t="shared" si="27"/>
        <v>Active</v>
      </c>
    </row>
    <row r="230" spans="1:20" x14ac:dyDescent="0.25">
      <c r="A230">
        <v>229</v>
      </c>
      <c r="B230" t="s">
        <v>28</v>
      </c>
      <c r="C230">
        <v>44</v>
      </c>
      <c r="D230" t="s">
        <v>26</v>
      </c>
      <c r="E230">
        <v>6.6</v>
      </c>
      <c r="F230">
        <v>7</v>
      </c>
      <c r="G230">
        <v>45</v>
      </c>
      <c r="H230">
        <v>4</v>
      </c>
      <c r="I230" t="s">
        <v>15</v>
      </c>
      <c r="J230" t="s">
        <v>51</v>
      </c>
      <c r="K230">
        <v>65</v>
      </c>
      <c r="L230">
        <v>6000</v>
      </c>
      <c r="M230" t="s">
        <v>25</v>
      </c>
      <c r="N230" t="str">
        <f t="shared" si="21"/>
        <v>Adult</v>
      </c>
      <c r="O230" t="str">
        <f t="shared" si="22"/>
        <v>Good Sleep</v>
      </c>
      <c r="P230" t="str">
        <f t="shared" si="23"/>
        <v>Not Good Enough</v>
      </c>
      <c r="Q230" t="str">
        <f t="shared" si="24"/>
        <v>Low</v>
      </c>
      <c r="R230" t="str">
        <f t="shared" si="25"/>
        <v>HP Stage 1</v>
      </c>
      <c r="S230" t="str">
        <f t="shared" si="26"/>
        <v>Good</v>
      </c>
      <c r="T230" t="str">
        <f t="shared" si="27"/>
        <v>Active</v>
      </c>
    </row>
    <row r="231" spans="1:20" x14ac:dyDescent="0.25">
      <c r="A231">
        <v>230</v>
      </c>
      <c r="B231" t="s">
        <v>13</v>
      </c>
      <c r="C231">
        <v>44</v>
      </c>
      <c r="D231" t="s">
        <v>50</v>
      </c>
      <c r="E231">
        <v>6.3</v>
      </c>
      <c r="F231">
        <v>6</v>
      </c>
      <c r="G231">
        <v>45</v>
      </c>
      <c r="H231">
        <v>7</v>
      </c>
      <c r="I231" t="s">
        <v>15</v>
      </c>
      <c r="J231" t="s">
        <v>45</v>
      </c>
      <c r="K231">
        <v>72</v>
      </c>
      <c r="L231">
        <v>6000</v>
      </c>
      <c r="M231" t="s">
        <v>25</v>
      </c>
      <c r="N231" t="str">
        <f t="shared" si="21"/>
        <v>Adult</v>
      </c>
      <c r="O231" t="str">
        <f t="shared" si="22"/>
        <v>Okay Sleep</v>
      </c>
      <c r="P231" t="str">
        <f t="shared" si="23"/>
        <v>Not Good Enough</v>
      </c>
      <c r="Q231" t="str">
        <f t="shared" si="24"/>
        <v>High</v>
      </c>
      <c r="R231" t="str">
        <f t="shared" si="25"/>
        <v>HP Stage 1</v>
      </c>
      <c r="S231" t="str">
        <f t="shared" si="26"/>
        <v>Average</v>
      </c>
      <c r="T231" t="str">
        <f t="shared" si="27"/>
        <v>Active</v>
      </c>
    </row>
    <row r="232" spans="1:20" x14ac:dyDescent="0.25">
      <c r="A232">
        <v>231</v>
      </c>
      <c r="B232" t="s">
        <v>28</v>
      </c>
      <c r="C232">
        <v>44</v>
      </c>
      <c r="D232" t="s">
        <v>26</v>
      </c>
      <c r="E232">
        <v>6.6</v>
      </c>
      <c r="F232">
        <v>7</v>
      </c>
      <c r="G232">
        <v>45</v>
      </c>
      <c r="H232">
        <v>4</v>
      </c>
      <c r="I232" t="s">
        <v>15</v>
      </c>
      <c r="J232" t="s">
        <v>51</v>
      </c>
      <c r="K232">
        <v>65</v>
      </c>
      <c r="L232">
        <v>6000</v>
      </c>
      <c r="M232" t="s">
        <v>25</v>
      </c>
      <c r="N232" t="str">
        <f t="shared" si="21"/>
        <v>Adult</v>
      </c>
      <c r="O232" t="str">
        <f t="shared" si="22"/>
        <v>Good Sleep</v>
      </c>
      <c r="P232" t="str">
        <f t="shared" si="23"/>
        <v>Not Good Enough</v>
      </c>
      <c r="Q232" t="str">
        <f t="shared" si="24"/>
        <v>Low</v>
      </c>
      <c r="R232" t="str">
        <f t="shared" si="25"/>
        <v>HP Stage 1</v>
      </c>
      <c r="S232" t="str">
        <f t="shared" si="26"/>
        <v>Good</v>
      </c>
      <c r="T232" t="str">
        <f t="shared" si="27"/>
        <v>Active</v>
      </c>
    </row>
    <row r="233" spans="1:20" x14ac:dyDescent="0.25">
      <c r="A233">
        <v>232</v>
      </c>
      <c r="B233" t="s">
        <v>13</v>
      </c>
      <c r="C233">
        <v>44</v>
      </c>
      <c r="D233" t="s">
        <v>50</v>
      </c>
      <c r="E233">
        <v>6.3</v>
      </c>
      <c r="F233">
        <v>6</v>
      </c>
      <c r="G233">
        <v>45</v>
      </c>
      <c r="H233">
        <v>7</v>
      </c>
      <c r="I233" t="s">
        <v>15</v>
      </c>
      <c r="J233" t="s">
        <v>45</v>
      </c>
      <c r="K233">
        <v>72</v>
      </c>
      <c r="L233">
        <v>6000</v>
      </c>
      <c r="M233" t="s">
        <v>25</v>
      </c>
      <c r="N233" t="str">
        <f t="shared" si="21"/>
        <v>Adult</v>
      </c>
      <c r="O233" t="str">
        <f t="shared" si="22"/>
        <v>Okay Sleep</v>
      </c>
      <c r="P233" t="str">
        <f t="shared" si="23"/>
        <v>Not Good Enough</v>
      </c>
      <c r="Q233" t="str">
        <f t="shared" si="24"/>
        <v>High</v>
      </c>
      <c r="R233" t="str">
        <f t="shared" si="25"/>
        <v>HP Stage 1</v>
      </c>
      <c r="S233" t="str">
        <f t="shared" si="26"/>
        <v>Average</v>
      </c>
      <c r="T233" t="str">
        <f t="shared" si="27"/>
        <v>Active</v>
      </c>
    </row>
    <row r="234" spans="1:20" x14ac:dyDescent="0.25">
      <c r="A234">
        <v>233</v>
      </c>
      <c r="B234" t="s">
        <v>28</v>
      </c>
      <c r="C234">
        <v>44</v>
      </c>
      <c r="D234" t="s">
        <v>26</v>
      </c>
      <c r="E234">
        <v>6.6</v>
      </c>
      <c r="F234">
        <v>7</v>
      </c>
      <c r="G234">
        <v>45</v>
      </c>
      <c r="H234">
        <v>4</v>
      </c>
      <c r="I234" t="s">
        <v>15</v>
      </c>
      <c r="J234" t="s">
        <v>51</v>
      </c>
      <c r="K234">
        <v>65</v>
      </c>
      <c r="L234">
        <v>6000</v>
      </c>
      <c r="M234" t="s">
        <v>25</v>
      </c>
      <c r="N234" t="str">
        <f t="shared" si="21"/>
        <v>Adult</v>
      </c>
      <c r="O234" t="str">
        <f t="shared" si="22"/>
        <v>Good Sleep</v>
      </c>
      <c r="P234" t="str">
        <f t="shared" si="23"/>
        <v>Not Good Enough</v>
      </c>
      <c r="Q234" t="str">
        <f t="shared" si="24"/>
        <v>Low</v>
      </c>
      <c r="R234" t="str">
        <f t="shared" si="25"/>
        <v>HP Stage 1</v>
      </c>
      <c r="S234" t="str">
        <f t="shared" si="26"/>
        <v>Good</v>
      </c>
      <c r="T234" t="str">
        <f t="shared" si="27"/>
        <v>Active</v>
      </c>
    </row>
    <row r="235" spans="1:20" x14ac:dyDescent="0.25">
      <c r="A235">
        <v>234</v>
      </c>
      <c r="B235" t="s">
        <v>13</v>
      </c>
      <c r="C235">
        <v>44</v>
      </c>
      <c r="D235" t="s">
        <v>50</v>
      </c>
      <c r="E235">
        <v>6.3</v>
      </c>
      <c r="F235">
        <v>6</v>
      </c>
      <c r="G235">
        <v>45</v>
      </c>
      <c r="H235">
        <v>7</v>
      </c>
      <c r="I235" t="s">
        <v>15</v>
      </c>
      <c r="J235" t="s">
        <v>45</v>
      </c>
      <c r="K235">
        <v>72</v>
      </c>
      <c r="L235">
        <v>6000</v>
      </c>
      <c r="M235" t="s">
        <v>25</v>
      </c>
      <c r="N235" t="str">
        <f t="shared" si="21"/>
        <v>Adult</v>
      </c>
      <c r="O235" t="str">
        <f t="shared" si="22"/>
        <v>Okay Sleep</v>
      </c>
      <c r="P235" t="str">
        <f t="shared" si="23"/>
        <v>Not Good Enough</v>
      </c>
      <c r="Q235" t="str">
        <f t="shared" si="24"/>
        <v>High</v>
      </c>
      <c r="R235" t="str">
        <f t="shared" si="25"/>
        <v>HP Stage 1</v>
      </c>
      <c r="S235" t="str">
        <f t="shared" si="26"/>
        <v>Average</v>
      </c>
      <c r="T235" t="str">
        <f t="shared" si="27"/>
        <v>Active</v>
      </c>
    </row>
    <row r="236" spans="1:20" x14ac:dyDescent="0.25">
      <c r="A236">
        <v>235</v>
      </c>
      <c r="B236" t="s">
        <v>28</v>
      </c>
      <c r="C236">
        <v>44</v>
      </c>
      <c r="D236" t="s">
        <v>26</v>
      </c>
      <c r="E236">
        <v>6.6</v>
      </c>
      <c r="F236">
        <v>7</v>
      </c>
      <c r="G236">
        <v>45</v>
      </c>
      <c r="H236">
        <v>4</v>
      </c>
      <c r="I236" t="s">
        <v>15</v>
      </c>
      <c r="J236" t="s">
        <v>51</v>
      </c>
      <c r="K236">
        <v>65</v>
      </c>
      <c r="L236">
        <v>6000</v>
      </c>
      <c r="M236" t="s">
        <v>25</v>
      </c>
      <c r="N236" t="str">
        <f t="shared" si="21"/>
        <v>Adult</v>
      </c>
      <c r="O236" t="str">
        <f t="shared" si="22"/>
        <v>Good Sleep</v>
      </c>
      <c r="P236" t="str">
        <f t="shared" si="23"/>
        <v>Not Good Enough</v>
      </c>
      <c r="Q236" t="str">
        <f t="shared" si="24"/>
        <v>Low</v>
      </c>
      <c r="R236" t="str">
        <f t="shared" si="25"/>
        <v>HP Stage 1</v>
      </c>
      <c r="S236" t="str">
        <f t="shared" si="26"/>
        <v>Good</v>
      </c>
      <c r="T236" t="str">
        <f t="shared" si="27"/>
        <v>Active</v>
      </c>
    </row>
    <row r="237" spans="1:20" x14ac:dyDescent="0.25">
      <c r="A237">
        <v>236</v>
      </c>
      <c r="B237" t="s">
        <v>13</v>
      </c>
      <c r="C237">
        <v>44</v>
      </c>
      <c r="D237" t="s">
        <v>50</v>
      </c>
      <c r="E237">
        <v>6.3</v>
      </c>
      <c r="F237">
        <v>6</v>
      </c>
      <c r="G237">
        <v>45</v>
      </c>
      <c r="H237">
        <v>7</v>
      </c>
      <c r="I237" t="s">
        <v>15</v>
      </c>
      <c r="J237" t="s">
        <v>45</v>
      </c>
      <c r="K237">
        <v>72</v>
      </c>
      <c r="L237">
        <v>6000</v>
      </c>
      <c r="M237" t="s">
        <v>25</v>
      </c>
      <c r="N237" t="str">
        <f t="shared" si="21"/>
        <v>Adult</v>
      </c>
      <c r="O237" t="str">
        <f t="shared" si="22"/>
        <v>Okay Sleep</v>
      </c>
      <c r="P237" t="str">
        <f t="shared" si="23"/>
        <v>Not Good Enough</v>
      </c>
      <c r="Q237" t="str">
        <f t="shared" si="24"/>
        <v>High</v>
      </c>
      <c r="R237" t="str">
        <f t="shared" si="25"/>
        <v>HP Stage 1</v>
      </c>
      <c r="S237" t="str">
        <f t="shared" si="26"/>
        <v>Average</v>
      </c>
      <c r="T237" t="str">
        <f t="shared" si="27"/>
        <v>Active</v>
      </c>
    </row>
    <row r="238" spans="1:20" x14ac:dyDescent="0.25">
      <c r="A238">
        <v>237</v>
      </c>
      <c r="B238" t="s">
        <v>13</v>
      </c>
      <c r="C238">
        <v>44</v>
      </c>
      <c r="D238" t="s">
        <v>50</v>
      </c>
      <c r="E238">
        <v>6.4</v>
      </c>
      <c r="F238">
        <v>6</v>
      </c>
      <c r="G238">
        <v>45</v>
      </c>
      <c r="H238">
        <v>7</v>
      </c>
      <c r="I238" t="s">
        <v>15</v>
      </c>
      <c r="J238" t="s">
        <v>45</v>
      </c>
      <c r="K238">
        <v>72</v>
      </c>
      <c r="L238">
        <v>6000</v>
      </c>
      <c r="M238" t="s">
        <v>25</v>
      </c>
      <c r="N238" t="str">
        <f t="shared" si="21"/>
        <v>Adult</v>
      </c>
      <c r="O238" t="str">
        <f t="shared" si="22"/>
        <v>Okay Sleep</v>
      </c>
      <c r="P238" t="str">
        <f t="shared" si="23"/>
        <v>Not Good Enough</v>
      </c>
      <c r="Q238" t="str">
        <f t="shared" si="24"/>
        <v>High</v>
      </c>
      <c r="R238" t="str">
        <f t="shared" si="25"/>
        <v>HP Stage 1</v>
      </c>
      <c r="S238" t="str">
        <f t="shared" si="26"/>
        <v>Average</v>
      </c>
      <c r="T238" t="str">
        <f t="shared" si="27"/>
        <v>Active</v>
      </c>
    </row>
    <row r="239" spans="1:20" x14ac:dyDescent="0.25">
      <c r="A239">
        <v>238</v>
      </c>
      <c r="B239" t="s">
        <v>28</v>
      </c>
      <c r="C239">
        <v>44</v>
      </c>
      <c r="D239" t="s">
        <v>26</v>
      </c>
      <c r="E239">
        <v>6.5</v>
      </c>
      <c r="F239">
        <v>7</v>
      </c>
      <c r="G239">
        <v>45</v>
      </c>
      <c r="H239">
        <v>4</v>
      </c>
      <c r="I239" t="s">
        <v>15</v>
      </c>
      <c r="J239" t="s">
        <v>51</v>
      </c>
      <c r="K239">
        <v>65</v>
      </c>
      <c r="L239">
        <v>6000</v>
      </c>
      <c r="M239" t="s">
        <v>25</v>
      </c>
      <c r="N239" t="str">
        <f t="shared" si="21"/>
        <v>Adult</v>
      </c>
      <c r="O239" t="str">
        <f t="shared" si="22"/>
        <v>Good Sleep</v>
      </c>
      <c r="P239" t="str">
        <f t="shared" si="23"/>
        <v>Not Good Enough</v>
      </c>
      <c r="Q239" t="str">
        <f t="shared" si="24"/>
        <v>Low</v>
      </c>
      <c r="R239" t="str">
        <f t="shared" si="25"/>
        <v>HP Stage 1</v>
      </c>
      <c r="S239" t="str">
        <f t="shared" si="26"/>
        <v>Good</v>
      </c>
      <c r="T239" t="str">
        <f t="shared" si="27"/>
        <v>Active</v>
      </c>
    </row>
    <row r="240" spans="1:20" x14ac:dyDescent="0.25">
      <c r="A240">
        <v>239</v>
      </c>
      <c r="B240" t="s">
        <v>13</v>
      </c>
      <c r="C240">
        <v>44</v>
      </c>
      <c r="D240" t="s">
        <v>50</v>
      </c>
      <c r="E240">
        <v>6.3</v>
      </c>
      <c r="F240">
        <v>6</v>
      </c>
      <c r="G240">
        <v>45</v>
      </c>
      <c r="H240">
        <v>7</v>
      </c>
      <c r="I240" t="s">
        <v>15</v>
      </c>
      <c r="J240" t="s">
        <v>45</v>
      </c>
      <c r="K240">
        <v>72</v>
      </c>
      <c r="L240">
        <v>6000</v>
      </c>
      <c r="M240" t="s">
        <v>25</v>
      </c>
      <c r="N240" t="str">
        <f t="shared" si="21"/>
        <v>Adult</v>
      </c>
      <c r="O240" t="str">
        <f t="shared" si="22"/>
        <v>Okay Sleep</v>
      </c>
      <c r="P240" t="str">
        <f t="shared" si="23"/>
        <v>Not Good Enough</v>
      </c>
      <c r="Q240" t="str">
        <f t="shared" si="24"/>
        <v>High</v>
      </c>
      <c r="R240" t="str">
        <f t="shared" si="25"/>
        <v>HP Stage 1</v>
      </c>
      <c r="S240" t="str">
        <f t="shared" si="26"/>
        <v>Average</v>
      </c>
      <c r="T240" t="str">
        <f t="shared" si="27"/>
        <v>Active</v>
      </c>
    </row>
    <row r="241" spans="1:20" x14ac:dyDescent="0.25">
      <c r="A241">
        <v>240</v>
      </c>
      <c r="B241" t="s">
        <v>13</v>
      </c>
      <c r="C241">
        <v>44</v>
      </c>
      <c r="D241" t="s">
        <v>50</v>
      </c>
      <c r="E241">
        <v>6.4</v>
      </c>
      <c r="F241">
        <v>6</v>
      </c>
      <c r="G241">
        <v>45</v>
      </c>
      <c r="H241">
        <v>7</v>
      </c>
      <c r="I241" t="s">
        <v>15</v>
      </c>
      <c r="J241" t="s">
        <v>45</v>
      </c>
      <c r="K241">
        <v>72</v>
      </c>
      <c r="L241">
        <v>6000</v>
      </c>
      <c r="M241" t="s">
        <v>25</v>
      </c>
      <c r="N241" t="str">
        <f t="shared" si="21"/>
        <v>Adult</v>
      </c>
      <c r="O241" t="str">
        <f t="shared" si="22"/>
        <v>Okay Sleep</v>
      </c>
      <c r="P241" t="str">
        <f t="shared" si="23"/>
        <v>Not Good Enough</v>
      </c>
      <c r="Q241" t="str">
        <f t="shared" si="24"/>
        <v>High</v>
      </c>
      <c r="R241" t="str">
        <f t="shared" si="25"/>
        <v>HP Stage 1</v>
      </c>
      <c r="S241" t="str">
        <f t="shared" si="26"/>
        <v>Average</v>
      </c>
      <c r="T241" t="str">
        <f t="shared" si="27"/>
        <v>Active</v>
      </c>
    </row>
    <row r="242" spans="1:20" x14ac:dyDescent="0.25">
      <c r="A242">
        <v>241</v>
      </c>
      <c r="B242" t="s">
        <v>28</v>
      </c>
      <c r="C242">
        <v>44</v>
      </c>
      <c r="D242" t="s">
        <v>26</v>
      </c>
      <c r="E242">
        <v>6.5</v>
      </c>
      <c r="F242">
        <v>7</v>
      </c>
      <c r="G242">
        <v>45</v>
      </c>
      <c r="H242">
        <v>4</v>
      </c>
      <c r="I242" t="s">
        <v>15</v>
      </c>
      <c r="J242" t="s">
        <v>51</v>
      </c>
      <c r="K242">
        <v>65</v>
      </c>
      <c r="L242">
        <v>6000</v>
      </c>
      <c r="M242" t="s">
        <v>25</v>
      </c>
      <c r="N242" t="str">
        <f t="shared" si="21"/>
        <v>Adult</v>
      </c>
      <c r="O242" t="str">
        <f t="shared" si="22"/>
        <v>Good Sleep</v>
      </c>
      <c r="P242" t="str">
        <f t="shared" si="23"/>
        <v>Not Good Enough</v>
      </c>
      <c r="Q242" t="str">
        <f t="shared" si="24"/>
        <v>Low</v>
      </c>
      <c r="R242" t="str">
        <f t="shared" si="25"/>
        <v>HP Stage 1</v>
      </c>
      <c r="S242" t="str">
        <f t="shared" si="26"/>
        <v>Good</v>
      </c>
      <c r="T242" t="str">
        <f t="shared" si="27"/>
        <v>Active</v>
      </c>
    </row>
    <row r="243" spans="1:20" x14ac:dyDescent="0.25">
      <c r="A243">
        <v>242</v>
      </c>
      <c r="B243" t="s">
        <v>13</v>
      </c>
      <c r="C243">
        <v>44</v>
      </c>
      <c r="D243" t="s">
        <v>50</v>
      </c>
      <c r="E243">
        <v>6.3</v>
      </c>
      <c r="F243">
        <v>6</v>
      </c>
      <c r="G243">
        <v>45</v>
      </c>
      <c r="H243">
        <v>7</v>
      </c>
      <c r="I243" t="s">
        <v>15</v>
      </c>
      <c r="J243" t="s">
        <v>45</v>
      </c>
      <c r="K243">
        <v>72</v>
      </c>
      <c r="L243">
        <v>6000</v>
      </c>
      <c r="M243" t="s">
        <v>25</v>
      </c>
      <c r="N243" t="str">
        <f t="shared" si="21"/>
        <v>Adult</v>
      </c>
      <c r="O243" t="str">
        <f t="shared" si="22"/>
        <v>Okay Sleep</v>
      </c>
      <c r="P243" t="str">
        <f t="shared" si="23"/>
        <v>Not Good Enough</v>
      </c>
      <c r="Q243" t="str">
        <f t="shared" si="24"/>
        <v>High</v>
      </c>
      <c r="R243" t="str">
        <f t="shared" si="25"/>
        <v>HP Stage 1</v>
      </c>
      <c r="S243" t="str">
        <f t="shared" si="26"/>
        <v>Average</v>
      </c>
      <c r="T243" t="str">
        <f t="shared" si="27"/>
        <v>Active</v>
      </c>
    </row>
    <row r="244" spans="1:20" x14ac:dyDescent="0.25">
      <c r="A244">
        <v>243</v>
      </c>
      <c r="B244" t="s">
        <v>13</v>
      </c>
      <c r="C244">
        <v>44</v>
      </c>
      <c r="D244" t="s">
        <v>50</v>
      </c>
      <c r="E244">
        <v>6.4</v>
      </c>
      <c r="F244">
        <v>6</v>
      </c>
      <c r="G244">
        <v>45</v>
      </c>
      <c r="H244">
        <v>7</v>
      </c>
      <c r="I244" t="s">
        <v>15</v>
      </c>
      <c r="J244" t="s">
        <v>45</v>
      </c>
      <c r="K244">
        <v>72</v>
      </c>
      <c r="L244">
        <v>6000</v>
      </c>
      <c r="M244" t="s">
        <v>25</v>
      </c>
      <c r="N244" t="str">
        <f t="shared" si="21"/>
        <v>Adult</v>
      </c>
      <c r="O244" t="str">
        <f t="shared" si="22"/>
        <v>Okay Sleep</v>
      </c>
      <c r="P244" t="str">
        <f t="shared" si="23"/>
        <v>Not Good Enough</v>
      </c>
      <c r="Q244" t="str">
        <f t="shared" si="24"/>
        <v>High</v>
      </c>
      <c r="R244" t="str">
        <f t="shared" si="25"/>
        <v>HP Stage 1</v>
      </c>
      <c r="S244" t="str">
        <f t="shared" si="26"/>
        <v>Average</v>
      </c>
      <c r="T244" t="str">
        <f t="shared" si="27"/>
        <v>Active</v>
      </c>
    </row>
    <row r="245" spans="1:20" x14ac:dyDescent="0.25">
      <c r="A245">
        <v>244</v>
      </c>
      <c r="B245" t="s">
        <v>28</v>
      </c>
      <c r="C245">
        <v>44</v>
      </c>
      <c r="D245" t="s">
        <v>26</v>
      </c>
      <c r="E245">
        <v>6.5</v>
      </c>
      <c r="F245">
        <v>7</v>
      </c>
      <c r="G245">
        <v>45</v>
      </c>
      <c r="H245">
        <v>4</v>
      </c>
      <c r="I245" t="s">
        <v>15</v>
      </c>
      <c r="J245" t="s">
        <v>51</v>
      </c>
      <c r="K245">
        <v>65</v>
      </c>
      <c r="L245">
        <v>6000</v>
      </c>
      <c r="M245" t="s">
        <v>25</v>
      </c>
      <c r="N245" t="str">
        <f t="shared" si="21"/>
        <v>Adult</v>
      </c>
      <c r="O245" t="str">
        <f t="shared" si="22"/>
        <v>Good Sleep</v>
      </c>
      <c r="P245" t="str">
        <f t="shared" si="23"/>
        <v>Not Good Enough</v>
      </c>
      <c r="Q245" t="str">
        <f t="shared" si="24"/>
        <v>Low</v>
      </c>
      <c r="R245" t="str">
        <f t="shared" si="25"/>
        <v>HP Stage 1</v>
      </c>
      <c r="S245" t="str">
        <f t="shared" si="26"/>
        <v>Good</v>
      </c>
      <c r="T245" t="str">
        <f t="shared" si="27"/>
        <v>Active</v>
      </c>
    </row>
    <row r="246" spans="1:20" x14ac:dyDescent="0.25">
      <c r="A246">
        <v>245</v>
      </c>
      <c r="B246" t="s">
        <v>13</v>
      </c>
      <c r="C246">
        <v>44</v>
      </c>
      <c r="D246" t="s">
        <v>50</v>
      </c>
      <c r="E246">
        <v>6.3</v>
      </c>
      <c r="F246">
        <v>6</v>
      </c>
      <c r="G246">
        <v>45</v>
      </c>
      <c r="H246">
        <v>7</v>
      </c>
      <c r="I246" t="s">
        <v>15</v>
      </c>
      <c r="J246" t="s">
        <v>45</v>
      </c>
      <c r="K246">
        <v>72</v>
      </c>
      <c r="L246">
        <v>6000</v>
      </c>
      <c r="M246" t="s">
        <v>25</v>
      </c>
      <c r="N246" t="str">
        <f t="shared" si="21"/>
        <v>Adult</v>
      </c>
      <c r="O246" t="str">
        <f t="shared" si="22"/>
        <v>Okay Sleep</v>
      </c>
      <c r="P246" t="str">
        <f t="shared" si="23"/>
        <v>Not Good Enough</v>
      </c>
      <c r="Q246" t="str">
        <f t="shared" si="24"/>
        <v>High</v>
      </c>
      <c r="R246" t="str">
        <f t="shared" si="25"/>
        <v>HP Stage 1</v>
      </c>
      <c r="S246" t="str">
        <f t="shared" si="26"/>
        <v>Average</v>
      </c>
      <c r="T246" t="str">
        <f t="shared" si="27"/>
        <v>Active</v>
      </c>
    </row>
    <row r="247" spans="1:20" x14ac:dyDescent="0.25">
      <c r="A247">
        <v>246</v>
      </c>
      <c r="B247" t="s">
        <v>28</v>
      </c>
      <c r="C247">
        <v>44</v>
      </c>
      <c r="D247" t="s">
        <v>26</v>
      </c>
      <c r="E247">
        <v>6.5</v>
      </c>
      <c r="F247">
        <v>7</v>
      </c>
      <c r="G247">
        <v>45</v>
      </c>
      <c r="H247">
        <v>4</v>
      </c>
      <c r="I247" t="s">
        <v>15</v>
      </c>
      <c r="J247" t="s">
        <v>51</v>
      </c>
      <c r="K247">
        <v>65</v>
      </c>
      <c r="L247">
        <v>6000</v>
      </c>
      <c r="M247" t="s">
        <v>25</v>
      </c>
      <c r="N247" t="str">
        <f t="shared" si="21"/>
        <v>Adult</v>
      </c>
      <c r="O247" t="str">
        <f t="shared" si="22"/>
        <v>Good Sleep</v>
      </c>
      <c r="P247" t="str">
        <f t="shared" si="23"/>
        <v>Not Good Enough</v>
      </c>
      <c r="Q247" t="str">
        <f t="shared" si="24"/>
        <v>Low</v>
      </c>
      <c r="R247" t="str">
        <f t="shared" si="25"/>
        <v>HP Stage 1</v>
      </c>
      <c r="S247" t="str">
        <f t="shared" si="26"/>
        <v>Good</v>
      </c>
      <c r="T247" t="str">
        <f t="shared" si="27"/>
        <v>Active</v>
      </c>
    </row>
    <row r="248" spans="1:20" x14ac:dyDescent="0.25">
      <c r="A248">
        <v>247</v>
      </c>
      <c r="B248" t="s">
        <v>13</v>
      </c>
      <c r="C248">
        <v>44</v>
      </c>
      <c r="D248" t="s">
        <v>50</v>
      </c>
      <c r="E248">
        <v>6.3</v>
      </c>
      <c r="F248">
        <v>6</v>
      </c>
      <c r="G248">
        <v>45</v>
      </c>
      <c r="H248">
        <v>7</v>
      </c>
      <c r="I248" t="s">
        <v>15</v>
      </c>
      <c r="J248" t="s">
        <v>45</v>
      </c>
      <c r="K248">
        <v>72</v>
      </c>
      <c r="L248">
        <v>6000</v>
      </c>
      <c r="M248" t="s">
        <v>25</v>
      </c>
      <c r="N248" t="str">
        <f t="shared" si="21"/>
        <v>Adult</v>
      </c>
      <c r="O248" t="str">
        <f t="shared" si="22"/>
        <v>Okay Sleep</v>
      </c>
      <c r="P248" t="str">
        <f t="shared" si="23"/>
        <v>Not Good Enough</v>
      </c>
      <c r="Q248" t="str">
        <f t="shared" si="24"/>
        <v>High</v>
      </c>
      <c r="R248" t="str">
        <f t="shared" si="25"/>
        <v>HP Stage 1</v>
      </c>
      <c r="S248" t="str">
        <f t="shared" si="26"/>
        <v>Average</v>
      </c>
      <c r="T248" t="str">
        <f t="shared" si="27"/>
        <v>Active</v>
      </c>
    </row>
    <row r="249" spans="1:20" x14ac:dyDescent="0.25">
      <c r="A249">
        <v>248</v>
      </c>
      <c r="B249" t="s">
        <v>13</v>
      </c>
      <c r="C249">
        <v>44</v>
      </c>
      <c r="D249" t="s">
        <v>34</v>
      </c>
      <c r="E249">
        <v>6.8</v>
      </c>
      <c r="F249">
        <v>7</v>
      </c>
      <c r="G249">
        <v>45</v>
      </c>
      <c r="H249">
        <v>7</v>
      </c>
      <c r="I249" t="s">
        <v>15</v>
      </c>
      <c r="J249" t="s">
        <v>45</v>
      </c>
      <c r="K249">
        <v>78</v>
      </c>
      <c r="L249">
        <v>5000</v>
      </c>
      <c r="M249" t="s">
        <v>25</v>
      </c>
      <c r="N249" t="str">
        <f t="shared" si="21"/>
        <v>Adult</v>
      </c>
      <c r="O249" t="str">
        <f t="shared" si="22"/>
        <v>Good Sleep</v>
      </c>
      <c r="P249" t="str">
        <f t="shared" si="23"/>
        <v>Not Good Enough</v>
      </c>
      <c r="Q249" t="str">
        <f t="shared" si="24"/>
        <v>High</v>
      </c>
      <c r="R249" t="str">
        <f t="shared" si="25"/>
        <v>HP Stage 1</v>
      </c>
      <c r="S249" t="str">
        <f t="shared" si="26"/>
        <v>Below Average</v>
      </c>
      <c r="T249" t="str">
        <f t="shared" si="27"/>
        <v>Low Active</v>
      </c>
    </row>
    <row r="250" spans="1:20" x14ac:dyDescent="0.25">
      <c r="A250">
        <v>249</v>
      </c>
      <c r="B250" t="s">
        <v>13</v>
      </c>
      <c r="C250">
        <v>44</v>
      </c>
      <c r="D250" t="s">
        <v>50</v>
      </c>
      <c r="E250">
        <v>6.4</v>
      </c>
      <c r="F250">
        <v>6</v>
      </c>
      <c r="G250">
        <v>45</v>
      </c>
      <c r="H250">
        <v>7</v>
      </c>
      <c r="I250" t="s">
        <v>15</v>
      </c>
      <c r="J250" t="s">
        <v>45</v>
      </c>
      <c r="K250">
        <v>72</v>
      </c>
      <c r="L250">
        <v>6000</v>
      </c>
      <c r="M250" t="s">
        <v>17</v>
      </c>
      <c r="N250" t="str">
        <f t="shared" si="21"/>
        <v>Adult</v>
      </c>
      <c r="O250" t="str">
        <f t="shared" si="22"/>
        <v>Okay Sleep</v>
      </c>
      <c r="P250" t="str">
        <f t="shared" si="23"/>
        <v>Not Good Enough</v>
      </c>
      <c r="Q250" t="str">
        <f t="shared" si="24"/>
        <v>High</v>
      </c>
      <c r="R250" t="str">
        <f t="shared" si="25"/>
        <v>HP Stage 1</v>
      </c>
      <c r="S250" t="str">
        <f t="shared" si="26"/>
        <v>Average</v>
      </c>
      <c r="T250" t="str">
        <f t="shared" si="27"/>
        <v>Active</v>
      </c>
    </row>
    <row r="251" spans="1:20" x14ac:dyDescent="0.25">
      <c r="A251">
        <v>250</v>
      </c>
      <c r="B251" t="s">
        <v>13</v>
      </c>
      <c r="C251">
        <v>44</v>
      </c>
      <c r="D251" t="s">
        <v>50</v>
      </c>
      <c r="E251">
        <v>6.5</v>
      </c>
      <c r="F251">
        <v>6</v>
      </c>
      <c r="G251">
        <v>45</v>
      </c>
      <c r="H251">
        <v>7</v>
      </c>
      <c r="I251" t="s">
        <v>15</v>
      </c>
      <c r="J251" t="s">
        <v>45</v>
      </c>
      <c r="K251">
        <v>72</v>
      </c>
      <c r="L251">
        <v>6000</v>
      </c>
      <c r="M251" t="s">
        <v>17</v>
      </c>
      <c r="N251" t="str">
        <f t="shared" si="21"/>
        <v>Adult</v>
      </c>
      <c r="O251" t="str">
        <f t="shared" si="22"/>
        <v>Okay Sleep</v>
      </c>
      <c r="P251" t="str">
        <f t="shared" si="23"/>
        <v>Not Good Enough</v>
      </c>
      <c r="Q251" t="str">
        <f t="shared" si="24"/>
        <v>High</v>
      </c>
      <c r="R251" t="str">
        <f t="shared" si="25"/>
        <v>HP Stage 1</v>
      </c>
      <c r="S251" t="str">
        <f t="shared" si="26"/>
        <v>Average</v>
      </c>
      <c r="T251" t="str">
        <f t="shared" si="27"/>
        <v>Active</v>
      </c>
    </row>
    <row r="252" spans="1:20" x14ac:dyDescent="0.25">
      <c r="A252">
        <v>251</v>
      </c>
      <c r="B252" t="s">
        <v>28</v>
      </c>
      <c r="C252">
        <v>45</v>
      </c>
      <c r="D252" t="s">
        <v>26</v>
      </c>
      <c r="E252">
        <v>6.8</v>
      </c>
      <c r="F252">
        <v>7</v>
      </c>
      <c r="G252">
        <v>30</v>
      </c>
      <c r="H252">
        <v>6</v>
      </c>
      <c r="I252" t="s">
        <v>15</v>
      </c>
      <c r="J252" t="s">
        <v>51</v>
      </c>
      <c r="K252">
        <v>65</v>
      </c>
      <c r="L252">
        <v>6000</v>
      </c>
      <c r="M252" t="s">
        <v>25</v>
      </c>
      <c r="N252" t="str">
        <f t="shared" si="21"/>
        <v>Adult</v>
      </c>
      <c r="O252" t="str">
        <f t="shared" si="22"/>
        <v>Good Sleep</v>
      </c>
      <c r="P252" t="str">
        <f t="shared" si="23"/>
        <v>Low</v>
      </c>
      <c r="Q252" t="str">
        <f t="shared" si="24"/>
        <v>Mid</v>
      </c>
      <c r="R252" t="str">
        <f t="shared" si="25"/>
        <v>HP Stage 1</v>
      </c>
      <c r="S252" t="str">
        <f t="shared" si="26"/>
        <v>Good</v>
      </c>
      <c r="T252" t="str">
        <f t="shared" si="27"/>
        <v>Active</v>
      </c>
    </row>
    <row r="253" spans="1:20" x14ac:dyDescent="0.25">
      <c r="A253">
        <v>252</v>
      </c>
      <c r="B253" t="s">
        <v>28</v>
      </c>
      <c r="C253">
        <v>45</v>
      </c>
      <c r="D253" t="s">
        <v>26</v>
      </c>
      <c r="E253">
        <v>6.8</v>
      </c>
      <c r="F253">
        <v>7</v>
      </c>
      <c r="G253">
        <v>30</v>
      </c>
      <c r="H253">
        <v>6</v>
      </c>
      <c r="I253" t="s">
        <v>15</v>
      </c>
      <c r="J253" t="s">
        <v>51</v>
      </c>
      <c r="K253">
        <v>65</v>
      </c>
      <c r="L253">
        <v>6000</v>
      </c>
      <c r="M253" t="s">
        <v>25</v>
      </c>
      <c r="N253" t="str">
        <f t="shared" si="21"/>
        <v>Adult</v>
      </c>
      <c r="O253" t="str">
        <f t="shared" si="22"/>
        <v>Good Sleep</v>
      </c>
      <c r="P253" t="str">
        <f t="shared" si="23"/>
        <v>Low</v>
      </c>
      <c r="Q253" t="str">
        <f t="shared" si="24"/>
        <v>Mid</v>
      </c>
      <c r="R253" t="str">
        <f t="shared" si="25"/>
        <v>HP Stage 1</v>
      </c>
      <c r="S253" t="str">
        <f t="shared" si="26"/>
        <v>Good</v>
      </c>
      <c r="T253" t="str">
        <f t="shared" si="27"/>
        <v>Active</v>
      </c>
    </row>
    <row r="254" spans="1:20" x14ac:dyDescent="0.25">
      <c r="A254">
        <v>253</v>
      </c>
      <c r="B254" t="s">
        <v>28</v>
      </c>
      <c r="C254">
        <v>45</v>
      </c>
      <c r="D254" t="s">
        <v>26</v>
      </c>
      <c r="E254">
        <v>6.5</v>
      </c>
      <c r="F254">
        <v>7</v>
      </c>
      <c r="G254">
        <v>45</v>
      </c>
      <c r="H254">
        <v>4</v>
      </c>
      <c r="I254" t="s">
        <v>15</v>
      </c>
      <c r="J254" t="s">
        <v>51</v>
      </c>
      <c r="K254">
        <v>65</v>
      </c>
      <c r="L254">
        <v>6000</v>
      </c>
      <c r="M254" t="s">
        <v>25</v>
      </c>
      <c r="N254" t="str">
        <f t="shared" si="21"/>
        <v>Adult</v>
      </c>
      <c r="O254" t="str">
        <f t="shared" si="22"/>
        <v>Good Sleep</v>
      </c>
      <c r="P254" t="str">
        <f t="shared" si="23"/>
        <v>Not Good Enough</v>
      </c>
      <c r="Q254" t="str">
        <f t="shared" si="24"/>
        <v>Low</v>
      </c>
      <c r="R254" t="str">
        <f t="shared" si="25"/>
        <v>HP Stage 1</v>
      </c>
      <c r="S254" t="str">
        <f t="shared" si="26"/>
        <v>Good</v>
      </c>
      <c r="T254" t="str">
        <f t="shared" si="27"/>
        <v>Active</v>
      </c>
    </row>
    <row r="255" spans="1:20" x14ac:dyDescent="0.25">
      <c r="A255">
        <v>254</v>
      </c>
      <c r="B255" t="s">
        <v>28</v>
      </c>
      <c r="C255">
        <v>45</v>
      </c>
      <c r="D255" t="s">
        <v>26</v>
      </c>
      <c r="E255">
        <v>6.5</v>
      </c>
      <c r="F255">
        <v>7</v>
      </c>
      <c r="G255">
        <v>45</v>
      </c>
      <c r="H255">
        <v>4</v>
      </c>
      <c r="I255" t="s">
        <v>15</v>
      </c>
      <c r="J255" t="s">
        <v>51</v>
      </c>
      <c r="K255">
        <v>65</v>
      </c>
      <c r="L255">
        <v>6000</v>
      </c>
      <c r="M255" t="s">
        <v>25</v>
      </c>
      <c r="N255" t="str">
        <f t="shared" si="21"/>
        <v>Adult</v>
      </c>
      <c r="O255" t="str">
        <f t="shared" si="22"/>
        <v>Good Sleep</v>
      </c>
      <c r="P255" t="str">
        <f t="shared" si="23"/>
        <v>Not Good Enough</v>
      </c>
      <c r="Q255" t="str">
        <f t="shared" si="24"/>
        <v>Low</v>
      </c>
      <c r="R255" t="str">
        <f t="shared" si="25"/>
        <v>HP Stage 1</v>
      </c>
      <c r="S255" t="str">
        <f t="shared" si="26"/>
        <v>Good</v>
      </c>
      <c r="T255" t="str">
        <f t="shared" si="27"/>
        <v>Active</v>
      </c>
    </row>
    <row r="256" spans="1:20" x14ac:dyDescent="0.25">
      <c r="A256">
        <v>255</v>
      </c>
      <c r="B256" t="s">
        <v>28</v>
      </c>
      <c r="C256">
        <v>45</v>
      </c>
      <c r="D256" t="s">
        <v>26</v>
      </c>
      <c r="E256">
        <v>6.5</v>
      </c>
      <c r="F256">
        <v>7</v>
      </c>
      <c r="G256">
        <v>45</v>
      </c>
      <c r="H256">
        <v>4</v>
      </c>
      <c r="I256" t="s">
        <v>15</v>
      </c>
      <c r="J256" t="s">
        <v>51</v>
      </c>
      <c r="K256">
        <v>65</v>
      </c>
      <c r="L256">
        <v>6000</v>
      </c>
      <c r="M256" t="s">
        <v>25</v>
      </c>
      <c r="N256" t="str">
        <f t="shared" si="21"/>
        <v>Adult</v>
      </c>
      <c r="O256" t="str">
        <f t="shared" si="22"/>
        <v>Good Sleep</v>
      </c>
      <c r="P256" t="str">
        <f t="shared" si="23"/>
        <v>Not Good Enough</v>
      </c>
      <c r="Q256" t="str">
        <f t="shared" si="24"/>
        <v>Low</v>
      </c>
      <c r="R256" t="str">
        <f t="shared" si="25"/>
        <v>HP Stage 1</v>
      </c>
      <c r="S256" t="str">
        <f t="shared" si="26"/>
        <v>Good</v>
      </c>
      <c r="T256" t="str">
        <f t="shared" si="27"/>
        <v>Active</v>
      </c>
    </row>
    <row r="257" spans="1:20" x14ac:dyDescent="0.25">
      <c r="A257">
        <v>256</v>
      </c>
      <c r="B257" t="s">
        <v>28</v>
      </c>
      <c r="C257">
        <v>45</v>
      </c>
      <c r="D257" t="s">
        <v>26</v>
      </c>
      <c r="E257">
        <v>6.5</v>
      </c>
      <c r="F257">
        <v>7</v>
      </c>
      <c r="G257">
        <v>45</v>
      </c>
      <c r="H257">
        <v>4</v>
      </c>
      <c r="I257" t="s">
        <v>15</v>
      </c>
      <c r="J257" t="s">
        <v>51</v>
      </c>
      <c r="K257">
        <v>65</v>
      </c>
      <c r="L257">
        <v>6000</v>
      </c>
      <c r="M257" t="s">
        <v>25</v>
      </c>
      <c r="N257" t="str">
        <f t="shared" si="21"/>
        <v>Adult</v>
      </c>
      <c r="O257" t="str">
        <f t="shared" si="22"/>
        <v>Good Sleep</v>
      </c>
      <c r="P257" t="str">
        <f t="shared" si="23"/>
        <v>Not Good Enough</v>
      </c>
      <c r="Q257" t="str">
        <f t="shared" si="24"/>
        <v>Low</v>
      </c>
      <c r="R257" t="str">
        <f t="shared" si="25"/>
        <v>HP Stage 1</v>
      </c>
      <c r="S257" t="str">
        <f t="shared" si="26"/>
        <v>Good</v>
      </c>
      <c r="T257" t="str">
        <f t="shared" si="27"/>
        <v>Active</v>
      </c>
    </row>
    <row r="258" spans="1:20" x14ac:dyDescent="0.25">
      <c r="A258">
        <v>257</v>
      </c>
      <c r="B258" t="s">
        <v>28</v>
      </c>
      <c r="C258">
        <v>45</v>
      </c>
      <c r="D258" t="s">
        <v>26</v>
      </c>
      <c r="E258">
        <v>6.6</v>
      </c>
      <c r="F258">
        <v>7</v>
      </c>
      <c r="G258">
        <v>45</v>
      </c>
      <c r="H258">
        <v>4</v>
      </c>
      <c r="I258" t="s">
        <v>15</v>
      </c>
      <c r="J258" t="s">
        <v>51</v>
      </c>
      <c r="K258">
        <v>65</v>
      </c>
      <c r="L258">
        <v>6000</v>
      </c>
      <c r="M258" t="s">
        <v>25</v>
      </c>
      <c r="N258" t="str">
        <f t="shared" si="21"/>
        <v>Adult</v>
      </c>
      <c r="O258" t="str">
        <f t="shared" si="22"/>
        <v>Good Sleep</v>
      </c>
      <c r="P258" t="str">
        <f t="shared" si="23"/>
        <v>Not Good Enough</v>
      </c>
      <c r="Q258" t="str">
        <f t="shared" si="24"/>
        <v>Low</v>
      </c>
      <c r="R258" t="str">
        <f t="shared" si="25"/>
        <v>HP Stage 1</v>
      </c>
      <c r="S258" t="str">
        <f t="shared" si="26"/>
        <v>Good</v>
      </c>
      <c r="T258" t="str">
        <f t="shared" si="27"/>
        <v>Active</v>
      </c>
    </row>
    <row r="259" spans="1:20" x14ac:dyDescent="0.25">
      <c r="A259">
        <v>258</v>
      </c>
      <c r="B259" t="s">
        <v>28</v>
      </c>
      <c r="C259">
        <v>45</v>
      </c>
      <c r="D259" t="s">
        <v>26</v>
      </c>
      <c r="E259">
        <v>6.6</v>
      </c>
      <c r="F259">
        <v>7</v>
      </c>
      <c r="G259">
        <v>45</v>
      </c>
      <c r="H259">
        <v>4</v>
      </c>
      <c r="I259" t="s">
        <v>15</v>
      </c>
      <c r="J259" t="s">
        <v>51</v>
      </c>
      <c r="K259">
        <v>65</v>
      </c>
      <c r="L259">
        <v>6000</v>
      </c>
      <c r="M259" t="s">
        <v>25</v>
      </c>
      <c r="N259" t="str">
        <f t="shared" ref="N259:N322" si="28">_xlfn.IFS(C259&gt;=50, "Old", C259&gt;=35, "Adult",C259&gt;=27, "Young Adult")</f>
        <v>Adult</v>
      </c>
      <c r="O259" t="str">
        <f t="shared" ref="O259:O322" si="29">_xlfn.IFS(F259&gt;=8, "Well Rested", F259&gt;=7, "Good Sleep", F259&gt;=6, "Okay Sleep",F259&lt;6, "Need more sleep")</f>
        <v>Good Sleep</v>
      </c>
      <c r="P259" t="str">
        <f t="shared" ref="P259:P322" si="30">_xlfn.IFS(G259&gt;=80, "Very High", G259&gt;=65, "High",G259&gt;=50, "Moderate", G259&gt;=40, "Not Good Enough", G259&lt;40,"Low")</f>
        <v>Not Good Enough</v>
      </c>
      <c r="Q259" t="str">
        <f t="shared" ref="Q259:Q322" si="31">_xlfn.IFS(H259&gt;=7, "High", H259&gt;=5, "Mid", H259&lt;5, "Low")</f>
        <v>Low</v>
      </c>
      <c r="R259" t="str">
        <f t="shared" ref="R259:R322" si="32">_xlfn.IFS(J259&gt;="140/90", "HP Stage 2", J259&gt;="130/85","HP Stage 1",J259&gt;="120/80","Elevated",J259&lt;"120/80","Normal")</f>
        <v>HP Stage 1</v>
      </c>
      <c r="S259" t="str">
        <f t="shared" ref="S259:S322" si="33">_xlfn.IFS(K259&gt;=80, "Poor", K259&gt;=75, "Below Average", K259&gt;=70, "Average",K259&lt;70,"Good")</f>
        <v>Good</v>
      </c>
      <c r="T259" t="str">
        <f t="shared" ref="T259:T322" si="34">_xlfn.IFS(L259&gt;=8000,"Highly Active", L259&gt;=6000, "Active", L259&gt;=4000, "Low Active",L259&lt;4000, "Sedentary")</f>
        <v>Active</v>
      </c>
    </row>
    <row r="260" spans="1:20" x14ac:dyDescent="0.25">
      <c r="A260">
        <v>259</v>
      </c>
      <c r="B260" t="s">
        <v>28</v>
      </c>
      <c r="C260">
        <v>45</v>
      </c>
      <c r="D260" t="s">
        <v>26</v>
      </c>
      <c r="E260">
        <v>6.6</v>
      </c>
      <c r="F260">
        <v>7</v>
      </c>
      <c r="G260">
        <v>45</v>
      </c>
      <c r="H260">
        <v>4</v>
      </c>
      <c r="I260" t="s">
        <v>15</v>
      </c>
      <c r="J260" t="s">
        <v>51</v>
      </c>
      <c r="K260">
        <v>65</v>
      </c>
      <c r="L260">
        <v>6000</v>
      </c>
      <c r="M260" t="s">
        <v>25</v>
      </c>
      <c r="N260" t="str">
        <f t="shared" si="28"/>
        <v>Adult</v>
      </c>
      <c r="O260" t="str">
        <f t="shared" si="29"/>
        <v>Good Sleep</v>
      </c>
      <c r="P260" t="str">
        <f t="shared" si="30"/>
        <v>Not Good Enough</v>
      </c>
      <c r="Q260" t="str">
        <f t="shared" si="31"/>
        <v>Low</v>
      </c>
      <c r="R260" t="str">
        <f t="shared" si="32"/>
        <v>HP Stage 1</v>
      </c>
      <c r="S260" t="str">
        <f t="shared" si="33"/>
        <v>Good</v>
      </c>
      <c r="T260" t="str">
        <f t="shared" si="34"/>
        <v>Active</v>
      </c>
    </row>
    <row r="261" spans="1:20" x14ac:dyDescent="0.25">
      <c r="A261">
        <v>260</v>
      </c>
      <c r="B261" t="s">
        <v>28</v>
      </c>
      <c r="C261">
        <v>45</v>
      </c>
      <c r="D261" t="s">
        <v>26</v>
      </c>
      <c r="E261">
        <v>6.6</v>
      </c>
      <c r="F261">
        <v>7</v>
      </c>
      <c r="G261">
        <v>45</v>
      </c>
      <c r="H261">
        <v>4</v>
      </c>
      <c r="I261" t="s">
        <v>15</v>
      </c>
      <c r="J261" t="s">
        <v>51</v>
      </c>
      <c r="K261">
        <v>65</v>
      </c>
      <c r="L261">
        <v>6000</v>
      </c>
      <c r="M261" t="s">
        <v>25</v>
      </c>
      <c r="N261" t="str">
        <f t="shared" si="28"/>
        <v>Adult</v>
      </c>
      <c r="O261" t="str">
        <f t="shared" si="29"/>
        <v>Good Sleep</v>
      </c>
      <c r="P261" t="str">
        <f t="shared" si="30"/>
        <v>Not Good Enough</v>
      </c>
      <c r="Q261" t="str">
        <f t="shared" si="31"/>
        <v>Low</v>
      </c>
      <c r="R261" t="str">
        <f t="shared" si="32"/>
        <v>HP Stage 1</v>
      </c>
      <c r="S261" t="str">
        <f t="shared" si="33"/>
        <v>Good</v>
      </c>
      <c r="T261" t="str">
        <f t="shared" si="34"/>
        <v>Active</v>
      </c>
    </row>
    <row r="262" spans="1:20" x14ac:dyDescent="0.25">
      <c r="A262">
        <v>261</v>
      </c>
      <c r="B262" t="s">
        <v>28</v>
      </c>
      <c r="C262">
        <v>45</v>
      </c>
      <c r="D262" t="s">
        <v>26</v>
      </c>
      <c r="E262">
        <v>6.6</v>
      </c>
      <c r="F262">
        <v>7</v>
      </c>
      <c r="G262">
        <v>45</v>
      </c>
      <c r="H262">
        <v>4</v>
      </c>
      <c r="I262" t="s">
        <v>15</v>
      </c>
      <c r="J262" t="s">
        <v>51</v>
      </c>
      <c r="K262">
        <v>65</v>
      </c>
      <c r="L262">
        <v>6000</v>
      </c>
      <c r="M262" t="s">
        <v>25</v>
      </c>
      <c r="N262" t="str">
        <f t="shared" si="28"/>
        <v>Adult</v>
      </c>
      <c r="O262" t="str">
        <f t="shared" si="29"/>
        <v>Good Sleep</v>
      </c>
      <c r="P262" t="str">
        <f t="shared" si="30"/>
        <v>Not Good Enough</v>
      </c>
      <c r="Q262" t="str">
        <f t="shared" si="31"/>
        <v>Low</v>
      </c>
      <c r="R262" t="str">
        <f t="shared" si="32"/>
        <v>HP Stage 1</v>
      </c>
      <c r="S262" t="str">
        <f t="shared" si="33"/>
        <v>Good</v>
      </c>
      <c r="T262" t="str">
        <f t="shared" si="34"/>
        <v>Active</v>
      </c>
    </row>
    <row r="263" spans="1:20" x14ac:dyDescent="0.25">
      <c r="A263">
        <v>262</v>
      </c>
      <c r="B263" t="s">
        <v>28</v>
      </c>
      <c r="C263">
        <v>45</v>
      </c>
      <c r="D263" t="s">
        <v>26</v>
      </c>
      <c r="E263">
        <v>6.6</v>
      </c>
      <c r="F263">
        <v>7</v>
      </c>
      <c r="G263">
        <v>45</v>
      </c>
      <c r="H263">
        <v>4</v>
      </c>
      <c r="I263" t="s">
        <v>15</v>
      </c>
      <c r="J263" t="s">
        <v>51</v>
      </c>
      <c r="K263">
        <v>65</v>
      </c>
      <c r="L263">
        <v>6000</v>
      </c>
      <c r="M263" t="s">
        <v>17</v>
      </c>
      <c r="N263" t="str">
        <f t="shared" si="28"/>
        <v>Adult</v>
      </c>
      <c r="O263" t="str">
        <f t="shared" si="29"/>
        <v>Good Sleep</v>
      </c>
      <c r="P263" t="str">
        <f t="shared" si="30"/>
        <v>Not Good Enough</v>
      </c>
      <c r="Q263" t="str">
        <f t="shared" si="31"/>
        <v>Low</v>
      </c>
      <c r="R263" t="str">
        <f t="shared" si="32"/>
        <v>HP Stage 1</v>
      </c>
      <c r="S263" t="str">
        <f t="shared" si="33"/>
        <v>Good</v>
      </c>
      <c r="T263" t="str">
        <f t="shared" si="34"/>
        <v>Active</v>
      </c>
    </row>
    <row r="264" spans="1:20" x14ac:dyDescent="0.25">
      <c r="A264">
        <v>263</v>
      </c>
      <c r="B264" t="s">
        <v>28</v>
      </c>
      <c r="C264">
        <v>45</v>
      </c>
      <c r="D264" t="s">
        <v>26</v>
      </c>
      <c r="E264">
        <v>6.6</v>
      </c>
      <c r="F264">
        <v>7</v>
      </c>
      <c r="G264">
        <v>45</v>
      </c>
      <c r="H264">
        <v>4</v>
      </c>
      <c r="I264" t="s">
        <v>15</v>
      </c>
      <c r="J264" t="s">
        <v>51</v>
      </c>
      <c r="K264">
        <v>65</v>
      </c>
      <c r="L264">
        <v>6000</v>
      </c>
      <c r="M264" t="s">
        <v>17</v>
      </c>
      <c r="N264" t="str">
        <f t="shared" si="28"/>
        <v>Adult</v>
      </c>
      <c r="O264" t="str">
        <f t="shared" si="29"/>
        <v>Good Sleep</v>
      </c>
      <c r="P264" t="str">
        <f t="shared" si="30"/>
        <v>Not Good Enough</v>
      </c>
      <c r="Q264" t="str">
        <f t="shared" si="31"/>
        <v>Low</v>
      </c>
      <c r="R264" t="str">
        <f t="shared" si="32"/>
        <v>HP Stage 1</v>
      </c>
      <c r="S264" t="str">
        <f t="shared" si="33"/>
        <v>Good</v>
      </c>
      <c r="T264" t="str">
        <f t="shared" si="34"/>
        <v>Active</v>
      </c>
    </row>
    <row r="265" spans="1:20" x14ac:dyDescent="0.25">
      <c r="A265">
        <v>264</v>
      </c>
      <c r="B265" t="s">
        <v>28</v>
      </c>
      <c r="C265">
        <v>45</v>
      </c>
      <c r="D265" t="s">
        <v>53</v>
      </c>
      <c r="E265">
        <v>6.9</v>
      </c>
      <c r="F265">
        <v>7</v>
      </c>
      <c r="G265">
        <v>55</v>
      </c>
      <c r="H265">
        <v>5</v>
      </c>
      <c r="I265" t="s">
        <v>15</v>
      </c>
      <c r="J265" t="s">
        <v>49</v>
      </c>
      <c r="K265">
        <v>75</v>
      </c>
      <c r="L265">
        <v>5500</v>
      </c>
      <c r="M265" t="s">
        <v>17</v>
      </c>
      <c r="N265" t="str">
        <f t="shared" si="28"/>
        <v>Adult</v>
      </c>
      <c r="O265" t="str">
        <f t="shared" si="29"/>
        <v>Good Sleep</v>
      </c>
      <c r="P265" t="str">
        <f t="shared" si="30"/>
        <v>Moderate</v>
      </c>
      <c r="Q265" t="str">
        <f t="shared" si="31"/>
        <v>Mid</v>
      </c>
      <c r="R265" t="str">
        <f t="shared" si="32"/>
        <v>Elevated</v>
      </c>
      <c r="S265" t="str">
        <f t="shared" si="33"/>
        <v>Below Average</v>
      </c>
      <c r="T265" t="str">
        <f t="shared" si="34"/>
        <v>Low Active</v>
      </c>
    </row>
    <row r="266" spans="1:20" x14ac:dyDescent="0.25">
      <c r="A266">
        <v>265</v>
      </c>
      <c r="B266" t="s">
        <v>13</v>
      </c>
      <c r="C266">
        <v>48</v>
      </c>
      <c r="D266" t="s">
        <v>18</v>
      </c>
      <c r="E266">
        <v>7.3</v>
      </c>
      <c r="F266">
        <v>7</v>
      </c>
      <c r="G266">
        <v>65</v>
      </c>
      <c r="H266">
        <v>5</v>
      </c>
      <c r="I266" t="s">
        <v>22</v>
      </c>
      <c r="J266" t="s">
        <v>54</v>
      </c>
      <c r="K266">
        <v>83</v>
      </c>
      <c r="L266">
        <v>3500</v>
      </c>
      <c r="M266" t="s">
        <v>25</v>
      </c>
      <c r="N266" t="str">
        <f t="shared" si="28"/>
        <v>Adult</v>
      </c>
      <c r="O266" t="str">
        <f t="shared" si="29"/>
        <v>Good Sleep</v>
      </c>
      <c r="P266" t="str">
        <f t="shared" si="30"/>
        <v>High</v>
      </c>
      <c r="Q266" t="str">
        <f t="shared" si="31"/>
        <v>Mid</v>
      </c>
      <c r="R266" t="str">
        <f t="shared" si="32"/>
        <v>HP Stage 2</v>
      </c>
      <c r="S266" t="str">
        <f t="shared" si="33"/>
        <v>Poor</v>
      </c>
      <c r="T266" t="str">
        <f t="shared" si="34"/>
        <v>Sedentary</v>
      </c>
    </row>
    <row r="267" spans="1:20" x14ac:dyDescent="0.25">
      <c r="A267">
        <v>266</v>
      </c>
      <c r="B267" t="s">
        <v>28</v>
      </c>
      <c r="C267">
        <v>48</v>
      </c>
      <c r="D267" t="s">
        <v>29</v>
      </c>
      <c r="E267">
        <v>5.9</v>
      </c>
      <c r="F267">
        <v>6</v>
      </c>
      <c r="G267">
        <v>90</v>
      </c>
      <c r="H267">
        <v>8</v>
      </c>
      <c r="I267" t="s">
        <v>15</v>
      </c>
      <c r="J267" t="s">
        <v>55</v>
      </c>
      <c r="K267">
        <v>75</v>
      </c>
      <c r="L267">
        <v>10000</v>
      </c>
      <c r="M267" t="s">
        <v>24</v>
      </c>
      <c r="N267" t="str">
        <f t="shared" si="28"/>
        <v>Adult</v>
      </c>
      <c r="O267" t="str">
        <f t="shared" si="29"/>
        <v>Okay Sleep</v>
      </c>
      <c r="P267" t="str">
        <f t="shared" si="30"/>
        <v>Very High</v>
      </c>
      <c r="Q267" t="str">
        <f t="shared" si="31"/>
        <v>High</v>
      </c>
      <c r="R267" t="str">
        <f t="shared" si="32"/>
        <v>HP Stage 2</v>
      </c>
      <c r="S267" t="str">
        <f t="shared" si="33"/>
        <v>Below Average</v>
      </c>
      <c r="T267" t="str">
        <f t="shared" si="34"/>
        <v>Highly Active</v>
      </c>
    </row>
    <row r="268" spans="1:20" x14ac:dyDescent="0.25">
      <c r="A268">
        <v>267</v>
      </c>
      <c r="B268" t="s">
        <v>13</v>
      </c>
      <c r="C268">
        <v>48</v>
      </c>
      <c r="D268" t="s">
        <v>18</v>
      </c>
      <c r="E268">
        <v>7.3</v>
      </c>
      <c r="F268">
        <v>7</v>
      </c>
      <c r="G268">
        <v>65</v>
      </c>
      <c r="H268">
        <v>5</v>
      </c>
      <c r="I268" t="s">
        <v>22</v>
      </c>
      <c r="J268" t="s">
        <v>54</v>
      </c>
      <c r="K268">
        <v>83</v>
      </c>
      <c r="L268">
        <v>3500</v>
      </c>
      <c r="M268" t="s">
        <v>25</v>
      </c>
      <c r="N268" t="str">
        <f t="shared" si="28"/>
        <v>Adult</v>
      </c>
      <c r="O268" t="str">
        <f t="shared" si="29"/>
        <v>Good Sleep</v>
      </c>
      <c r="P268" t="str">
        <f t="shared" si="30"/>
        <v>High</v>
      </c>
      <c r="Q268" t="str">
        <f t="shared" si="31"/>
        <v>Mid</v>
      </c>
      <c r="R268" t="str">
        <f t="shared" si="32"/>
        <v>HP Stage 2</v>
      </c>
      <c r="S268" t="str">
        <f t="shared" si="33"/>
        <v>Poor</v>
      </c>
      <c r="T268" t="str">
        <f t="shared" si="34"/>
        <v>Sedentary</v>
      </c>
    </row>
    <row r="269" spans="1:20" x14ac:dyDescent="0.25">
      <c r="A269">
        <v>268</v>
      </c>
      <c r="B269" t="s">
        <v>28</v>
      </c>
      <c r="C269">
        <v>49</v>
      </c>
      <c r="D269" t="s">
        <v>29</v>
      </c>
      <c r="E269">
        <v>6.2</v>
      </c>
      <c r="F269">
        <v>6</v>
      </c>
      <c r="G269">
        <v>90</v>
      </c>
      <c r="H269">
        <v>8</v>
      </c>
      <c r="I269" t="s">
        <v>15</v>
      </c>
      <c r="J269" t="s">
        <v>55</v>
      </c>
      <c r="K269">
        <v>75</v>
      </c>
      <c r="L269">
        <v>10000</v>
      </c>
      <c r="M269" t="s">
        <v>17</v>
      </c>
      <c r="N269" t="str">
        <f t="shared" si="28"/>
        <v>Adult</v>
      </c>
      <c r="O269" t="str">
        <f t="shared" si="29"/>
        <v>Okay Sleep</v>
      </c>
      <c r="P269" t="str">
        <f t="shared" si="30"/>
        <v>Very High</v>
      </c>
      <c r="Q269" t="str">
        <f t="shared" si="31"/>
        <v>High</v>
      </c>
      <c r="R269" t="str">
        <f t="shared" si="32"/>
        <v>HP Stage 2</v>
      </c>
      <c r="S269" t="str">
        <f t="shared" si="33"/>
        <v>Below Average</v>
      </c>
      <c r="T269" t="str">
        <f t="shared" si="34"/>
        <v>Highly Active</v>
      </c>
    </row>
    <row r="270" spans="1:20" x14ac:dyDescent="0.25">
      <c r="A270">
        <v>269</v>
      </c>
      <c r="B270" t="s">
        <v>28</v>
      </c>
      <c r="C270">
        <v>49</v>
      </c>
      <c r="D270" t="s">
        <v>29</v>
      </c>
      <c r="E270">
        <v>6</v>
      </c>
      <c r="F270">
        <v>6</v>
      </c>
      <c r="G270">
        <v>90</v>
      </c>
      <c r="H270">
        <v>8</v>
      </c>
      <c r="I270" t="s">
        <v>15</v>
      </c>
      <c r="J270" t="s">
        <v>55</v>
      </c>
      <c r="K270">
        <v>75</v>
      </c>
      <c r="L270">
        <v>10000</v>
      </c>
      <c r="M270" t="s">
        <v>24</v>
      </c>
      <c r="N270" t="str">
        <f t="shared" si="28"/>
        <v>Adult</v>
      </c>
      <c r="O270" t="str">
        <f t="shared" si="29"/>
        <v>Okay Sleep</v>
      </c>
      <c r="P270" t="str">
        <f t="shared" si="30"/>
        <v>Very High</v>
      </c>
      <c r="Q270" t="str">
        <f t="shared" si="31"/>
        <v>High</v>
      </c>
      <c r="R270" t="str">
        <f t="shared" si="32"/>
        <v>HP Stage 2</v>
      </c>
      <c r="S270" t="str">
        <f t="shared" si="33"/>
        <v>Below Average</v>
      </c>
      <c r="T270" t="str">
        <f t="shared" si="34"/>
        <v>Highly Active</v>
      </c>
    </row>
    <row r="271" spans="1:20" x14ac:dyDescent="0.25">
      <c r="A271">
        <v>270</v>
      </c>
      <c r="B271" t="s">
        <v>28</v>
      </c>
      <c r="C271">
        <v>49</v>
      </c>
      <c r="D271" t="s">
        <v>29</v>
      </c>
      <c r="E271">
        <v>6.1</v>
      </c>
      <c r="F271">
        <v>6</v>
      </c>
      <c r="G271">
        <v>90</v>
      </c>
      <c r="H271">
        <v>8</v>
      </c>
      <c r="I271" t="s">
        <v>15</v>
      </c>
      <c r="J271" t="s">
        <v>55</v>
      </c>
      <c r="K271">
        <v>75</v>
      </c>
      <c r="L271">
        <v>10000</v>
      </c>
      <c r="M271" t="s">
        <v>24</v>
      </c>
      <c r="N271" t="str">
        <f t="shared" si="28"/>
        <v>Adult</v>
      </c>
      <c r="O271" t="str">
        <f t="shared" si="29"/>
        <v>Okay Sleep</v>
      </c>
      <c r="P271" t="str">
        <f t="shared" si="30"/>
        <v>Very High</v>
      </c>
      <c r="Q271" t="str">
        <f t="shared" si="31"/>
        <v>High</v>
      </c>
      <c r="R271" t="str">
        <f t="shared" si="32"/>
        <v>HP Stage 2</v>
      </c>
      <c r="S271" t="str">
        <f t="shared" si="33"/>
        <v>Below Average</v>
      </c>
      <c r="T271" t="str">
        <f t="shared" si="34"/>
        <v>Highly Active</v>
      </c>
    </row>
    <row r="272" spans="1:20" x14ac:dyDescent="0.25">
      <c r="A272">
        <v>271</v>
      </c>
      <c r="B272" t="s">
        <v>28</v>
      </c>
      <c r="C272">
        <v>49</v>
      </c>
      <c r="D272" t="s">
        <v>29</v>
      </c>
      <c r="E272">
        <v>6.1</v>
      </c>
      <c r="F272">
        <v>6</v>
      </c>
      <c r="G272">
        <v>90</v>
      </c>
      <c r="H272">
        <v>8</v>
      </c>
      <c r="I272" t="s">
        <v>15</v>
      </c>
      <c r="J272" t="s">
        <v>55</v>
      </c>
      <c r="K272">
        <v>75</v>
      </c>
      <c r="L272">
        <v>10000</v>
      </c>
      <c r="M272" t="s">
        <v>24</v>
      </c>
      <c r="N272" t="str">
        <f t="shared" si="28"/>
        <v>Adult</v>
      </c>
      <c r="O272" t="str">
        <f t="shared" si="29"/>
        <v>Okay Sleep</v>
      </c>
      <c r="P272" t="str">
        <f t="shared" si="30"/>
        <v>Very High</v>
      </c>
      <c r="Q272" t="str">
        <f t="shared" si="31"/>
        <v>High</v>
      </c>
      <c r="R272" t="str">
        <f t="shared" si="32"/>
        <v>HP Stage 2</v>
      </c>
      <c r="S272" t="str">
        <f t="shared" si="33"/>
        <v>Below Average</v>
      </c>
      <c r="T272" t="str">
        <f t="shared" si="34"/>
        <v>Highly Active</v>
      </c>
    </row>
    <row r="273" spans="1:20" x14ac:dyDescent="0.25">
      <c r="A273">
        <v>272</v>
      </c>
      <c r="B273" t="s">
        <v>28</v>
      </c>
      <c r="C273">
        <v>49</v>
      </c>
      <c r="D273" t="s">
        <v>29</v>
      </c>
      <c r="E273">
        <v>6.1</v>
      </c>
      <c r="F273">
        <v>6</v>
      </c>
      <c r="G273">
        <v>90</v>
      </c>
      <c r="H273">
        <v>8</v>
      </c>
      <c r="I273" t="s">
        <v>15</v>
      </c>
      <c r="J273" t="s">
        <v>55</v>
      </c>
      <c r="K273">
        <v>75</v>
      </c>
      <c r="L273">
        <v>10000</v>
      </c>
      <c r="M273" t="s">
        <v>24</v>
      </c>
      <c r="N273" t="str">
        <f t="shared" si="28"/>
        <v>Adult</v>
      </c>
      <c r="O273" t="str">
        <f t="shared" si="29"/>
        <v>Okay Sleep</v>
      </c>
      <c r="P273" t="str">
        <f t="shared" si="30"/>
        <v>Very High</v>
      </c>
      <c r="Q273" t="str">
        <f t="shared" si="31"/>
        <v>High</v>
      </c>
      <c r="R273" t="str">
        <f t="shared" si="32"/>
        <v>HP Stage 2</v>
      </c>
      <c r="S273" t="str">
        <f t="shared" si="33"/>
        <v>Below Average</v>
      </c>
      <c r="T273" t="str">
        <f t="shared" si="34"/>
        <v>Highly Active</v>
      </c>
    </row>
    <row r="274" spans="1:20" x14ac:dyDescent="0.25">
      <c r="A274">
        <v>273</v>
      </c>
      <c r="B274" t="s">
        <v>28</v>
      </c>
      <c r="C274">
        <v>49</v>
      </c>
      <c r="D274" t="s">
        <v>29</v>
      </c>
      <c r="E274">
        <v>6.1</v>
      </c>
      <c r="F274">
        <v>6</v>
      </c>
      <c r="G274">
        <v>90</v>
      </c>
      <c r="H274">
        <v>8</v>
      </c>
      <c r="I274" t="s">
        <v>15</v>
      </c>
      <c r="J274" t="s">
        <v>55</v>
      </c>
      <c r="K274">
        <v>75</v>
      </c>
      <c r="L274">
        <v>10000</v>
      </c>
      <c r="M274" t="s">
        <v>24</v>
      </c>
      <c r="N274" t="str">
        <f t="shared" si="28"/>
        <v>Adult</v>
      </c>
      <c r="O274" t="str">
        <f t="shared" si="29"/>
        <v>Okay Sleep</v>
      </c>
      <c r="P274" t="str">
        <f t="shared" si="30"/>
        <v>Very High</v>
      </c>
      <c r="Q274" t="str">
        <f t="shared" si="31"/>
        <v>High</v>
      </c>
      <c r="R274" t="str">
        <f t="shared" si="32"/>
        <v>HP Stage 2</v>
      </c>
      <c r="S274" t="str">
        <f t="shared" si="33"/>
        <v>Below Average</v>
      </c>
      <c r="T274" t="str">
        <f t="shared" si="34"/>
        <v>Highly Active</v>
      </c>
    </row>
    <row r="275" spans="1:20" x14ac:dyDescent="0.25">
      <c r="A275">
        <v>274</v>
      </c>
      <c r="B275" t="s">
        <v>28</v>
      </c>
      <c r="C275">
        <v>49</v>
      </c>
      <c r="D275" t="s">
        <v>29</v>
      </c>
      <c r="E275">
        <v>6.2</v>
      </c>
      <c r="F275">
        <v>6</v>
      </c>
      <c r="G275">
        <v>90</v>
      </c>
      <c r="H275">
        <v>8</v>
      </c>
      <c r="I275" t="s">
        <v>15</v>
      </c>
      <c r="J275" t="s">
        <v>55</v>
      </c>
      <c r="K275">
        <v>75</v>
      </c>
      <c r="L275">
        <v>10000</v>
      </c>
      <c r="M275" t="s">
        <v>24</v>
      </c>
      <c r="N275" t="str">
        <f t="shared" si="28"/>
        <v>Adult</v>
      </c>
      <c r="O275" t="str">
        <f t="shared" si="29"/>
        <v>Okay Sleep</v>
      </c>
      <c r="P275" t="str">
        <f t="shared" si="30"/>
        <v>Very High</v>
      </c>
      <c r="Q275" t="str">
        <f t="shared" si="31"/>
        <v>High</v>
      </c>
      <c r="R275" t="str">
        <f t="shared" si="32"/>
        <v>HP Stage 2</v>
      </c>
      <c r="S275" t="str">
        <f t="shared" si="33"/>
        <v>Below Average</v>
      </c>
      <c r="T275" t="str">
        <f t="shared" si="34"/>
        <v>Highly Active</v>
      </c>
    </row>
    <row r="276" spans="1:20" x14ac:dyDescent="0.25">
      <c r="A276">
        <v>275</v>
      </c>
      <c r="B276" t="s">
        <v>28</v>
      </c>
      <c r="C276">
        <v>49</v>
      </c>
      <c r="D276" t="s">
        <v>29</v>
      </c>
      <c r="E276">
        <v>6.2</v>
      </c>
      <c r="F276">
        <v>6</v>
      </c>
      <c r="G276">
        <v>90</v>
      </c>
      <c r="H276">
        <v>8</v>
      </c>
      <c r="I276" t="s">
        <v>15</v>
      </c>
      <c r="J276" t="s">
        <v>55</v>
      </c>
      <c r="K276">
        <v>75</v>
      </c>
      <c r="L276">
        <v>10000</v>
      </c>
      <c r="M276" t="s">
        <v>24</v>
      </c>
      <c r="N276" t="str">
        <f t="shared" si="28"/>
        <v>Adult</v>
      </c>
      <c r="O276" t="str">
        <f t="shared" si="29"/>
        <v>Okay Sleep</v>
      </c>
      <c r="P276" t="str">
        <f t="shared" si="30"/>
        <v>Very High</v>
      </c>
      <c r="Q276" t="str">
        <f t="shared" si="31"/>
        <v>High</v>
      </c>
      <c r="R276" t="str">
        <f t="shared" si="32"/>
        <v>HP Stage 2</v>
      </c>
      <c r="S276" t="str">
        <f t="shared" si="33"/>
        <v>Below Average</v>
      </c>
      <c r="T276" t="str">
        <f t="shared" si="34"/>
        <v>Highly Active</v>
      </c>
    </row>
    <row r="277" spans="1:20" x14ac:dyDescent="0.25">
      <c r="A277">
        <v>276</v>
      </c>
      <c r="B277" t="s">
        <v>28</v>
      </c>
      <c r="C277">
        <v>49</v>
      </c>
      <c r="D277" t="s">
        <v>29</v>
      </c>
      <c r="E277">
        <v>6.2</v>
      </c>
      <c r="F277">
        <v>6</v>
      </c>
      <c r="G277">
        <v>90</v>
      </c>
      <c r="H277">
        <v>8</v>
      </c>
      <c r="I277" t="s">
        <v>15</v>
      </c>
      <c r="J277" t="s">
        <v>55</v>
      </c>
      <c r="K277">
        <v>75</v>
      </c>
      <c r="L277">
        <v>10000</v>
      </c>
      <c r="M277" t="s">
        <v>24</v>
      </c>
      <c r="N277" t="str">
        <f t="shared" si="28"/>
        <v>Adult</v>
      </c>
      <c r="O277" t="str">
        <f t="shared" si="29"/>
        <v>Okay Sleep</v>
      </c>
      <c r="P277" t="str">
        <f t="shared" si="30"/>
        <v>Very High</v>
      </c>
      <c r="Q277" t="str">
        <f t="shared" si="31"/>
        <v>High</v>
      </c>
      <c r="R277" t="str">
        <f t="shared" si="32"/>
        <v>HP Stage 2</v>
      </c>
      <c r="S277" t="str">
        <f t="shared" si="33"/>
        <v>Below Average</v>
      </c>
      <c r="T277" t="str">
        <f t="shared" si="34"/>
        <v>Highly Active</v>
      </c>
    </row>
    <row r="278" spans="1:20" x14ac:dyDescent="0.25">
      <c r="A278">
        <v>277</v>
      </c>
      <c r="B278" t="s">
        <v>13</v>
      </c>
      <c r="C278">
        <v>49</v>
      </c>
      <c r="D278" t="s">
        <v>18</v>
      </c>
      <c r="E278">
        <v>8.1</v>
      </c>
      <c r="F278">
        <v>9</v>
      </c>
      <c r="G278">
        <v>85</v>
      </c>
      <c r="H278">
        <v>3</v>
      </c>
      <c r="I278" t="s">
        <v>22</v>
      </c>
      <c r="J278" t="s">
        <v>56</v>
      </c>
      <c r="K278">
        <v>86</v>
      </c>
      <c r="L278">
        <v>3700</v>
      </c>
      <c r="M278" t="s">
        <v>24</v>
      </c>
      <c r="N278" t="str">
        <f t="shared" si="28"/>
        <v>Adult</v>
      </c>
      <c r="O278" t="str">
        <f t="shared" si="29"/>
        <v>Well Rested</v>
      </c>
      <c r="P278" t="str">
        <f t="shared" si="30"/>
        <v>Very High</v>
      </c>
      <c r="Q278" t="str">
        <f t="shared" si="31"/>
        <v>Low</v>
      </c>
      <c r="R278" t="str">
        <f t="shared" si="32"/>
        <v>HP Stage 1</v>
      </c>
      <c r="S278" t="str">
        <f t="shared" si="33"/>
        <v>Poor</v>
      </c>
      <c r="T278" t="str">
        <f t="shared" si="34"/>
        <v>Sedentary</v>
      </c>
    </row>
    <row r="279" spans="1:20" x14ac:dyDescent="0.25">
      <c r="A279">
        <v>278</v>
      </c>
      <c r="B279" t="s">
        <v>13</v>
      </c>
      <c r="C279">
        <v>49</v>
      </c>
      <c r="D279" t="s">
        <v>18</v>
      </c>
      <c r="E279">
        <v>8.1</v>
      </c>
      <c r="F279">
        <v>9</v>
      </c>
      <c r="G279">
        <v>85</v>
      </c>
      <c r="H279">
        <v>3</v>
      </c>
      <c r="I279" t="s">
        <v>22</v>
      </c>
      <c r="J279" t="s">
        <v>56</v>
      </c>
      <c r="K279">
        <v>86</v>
      </c>
      <c r="L279">
        <v>3700</v>
      </c>
      <c r="M279" t="s">
        <v>24</v>
      </c>
      <c r="N279" t="str">
        <f t="shared" si="28"/>
        <v>Adult</v>
      </c>
      <c r="O279" t="str">
        <f t="shared" si="29"/>
        <v>Well Rested</v>
      </c>
      <c r="P279" t="str">
        <f t="shared" si="30"/>
        <v>Very High</v>
      </c>
      <c r="Q279" t="str">
        <f t="shared" si="31"/>
        <v>Low</v>
      </c>
      <c r="R279" t="str">
        <f t="shared" si="32"/>
        <v>HP Stage 1</v>
      </c>
      <c r="S279" t="str">
        <f t="shared" si="33"/>
        <v>Poor</v>
      </c>
      <c r="T279" t="str">
        <f t="shared" si="34"/>
        <v>Sedentary</v>
      </c>
    </row>
    <row r="280" spans="1:20" x14ac:dyDescent="0.25">
      <c r="A280">
        <v>279</v>
      </c>
      <c r="B280" t="s">
        <v>28</v>
      </c>
      <c r="C280">
        <v>50</v>
      </c>
      <c r="D280" t="s">
        <v>29</v>
      </c>
      <c r="E280">
        <v>6.1</v>
      </c>
      <c r="F280">
        <v>6</v>
      </c>
      <c r="G280">
        <v>90</v>
      </c>
      <c r="H280">
        <v>8</v>
      </c>
      <c r="I280" t="s">
        <v>15</v>
      </c>
      <c r="J280" t="s">
        <v>55</v>
      </c>
      <c r="K280">
        <v>75</v>
      </c>
      <c r="L280">
        <v>10000</v>
      </c>
      <c r="M280" t="s">
        <v>25</v>
      </c>
      <c r="N280" t="str">
        <f t="shared" si="28"/>
        <v>Old</v>
      </c>
      <c r="O280" t="str">
        <f t="shared" si="29"/>
        <v>Okay Sleep</v>
      </c>
      <c r="P280" t="str">
        <f t="shared" si="30"/>
        <v>Very High</v>
      </c>
      <c r="Q280" t="str">
        <f t="shared" si="31"/>
        <v>High</v>
      </c>
      <c r="R280" t="str">
        <f t="shared" si="32"/>
        <v>HP Stage 2</v>
      </c>
      <c r="S280" t="str">
        <f t="shared" si="33"/>
        <v>Below Average</v>
      </c>
      <c r="T280" t="str">
        <f t="shared" si="34"/>
        <v>Highly Active</v>
      </c>
    </row>
    <row r="281" spans="1:20" x14ac:dyDescent="0.25">
      <c r="A281">
        <v>280</v>
      </c>
      <c r="B281" t="s">
        <v>28</v>
      </c>
      <c r="C281">
        <v>50</v>
      </c>
      <c r="D281" t="s">
        <v>34</v>
      </c>
      <c r="E281">
        <v>8.3000000000000007</v>
      </c>
      <c r="F281">
        <v>9</v>
      </c>
      <c r="G281">
        <v>30</v>
      </c>
      <c r="H281">
        <v>3</v>
      </c>
      <c r="I281" t="s">
        <v>19</v>
      </c>
      <c r="J281" t="s">
        <v>20</v>
      </c>
      <c r="K281">
        <v>65</v>
      </c>
      <c r="L281">
        <v>5000</v>
      </c>
      <c r="M281" t="s">
        <v>17</v>
      </c>
      <c r="N281" t="str">
        <f t="shared" si="28"/>
        <v>Old</v>
      </c>
      <c r="O281" t="str">
        <f t="shared" si="29"/>
        <v>Well Rested</v>
      </c>
      <c r="P281" t="str">
        <f t="shared" si="30"/>
        <v>Low</v>
      </c>
      <c r="Q281" t="str">
        <f t="shared" si="31"/>
        <v>Low</v>
      </c>
      <c r="R281" t="str">
        <f t="shared" si="32"/>
        <v>Elevated</v>
      </c>
      <c r="S281" t="str">
        <f t="shared" si="33"/>
        <v>Good</v>
      </c>
      <c r="T281" t="str">
        <f t="shared" si="34"/>
        <v>Low Active</v>
      </c>
    </row>
    <row r="282" spans="1:20" x14ac:dyDescent="0.25">
      <c r="A282">
        <v>281</v>
      </c>
      <c r="B282" t="s">
        <v>28</v>
      </c>
      <c r="C282">
        <v>50</v>
      </c>
      <c r="D282" t="s">
        <v>29</v>
      </c>
      <c r="E282">
        <v>6</v>
      </c>
      <c r="F282">
        <v>6</v>
      </c>
      <c r="G282">
        <v>90</v>
      </c>
      <c r="H282">
        <v>8</v>
      </c>
      <c r="I282" t="s">
        <v>15</v>
      </c>
      <c r="J282" t="s">
        <v>55</v>
      </c>
      <c r="K282">
        <v>75</v>
      </c>
      <c r="L282">
        <v>10000</v>
      </c>
      <c r="M282" t="s">
        <v>17</v>
      </c>
      <c r="N282" t="str">
        <f t="shared" si="28"/>
        <v>Old</v>
      </c>
      <c r="O282" t="str">
        <f t="shared" si="29"/>
        <v>Okay Sleep</v>
      </c>
      <c r="P282" t="str">
        <f t="shared" si="30"/>
        <v>Very High</v>
      </c>
      <c r="Q282" t="str">
        <f t="shared" si="31"/>
        <v>High</v>
      </c>
      <c r="R282" t="str">
        <f t="shared" si="32"/>
        <v>HP Stage 2</v>
      </c>
      <c r="S282" t="str">
        <f t="shared" si="33"/>
        <v>Below Average</v>
      </c>
      <c r="T282" t="str">
        <f t="shared" si="34"/>
        <v>Highly Active</v>
      </c>
    </row>
    <row r="283" spans="1:20" x14ac:dyDescent="0.25">
      <c r="A283">
        <v>282</v>
      </c>
      <c r="B283" t="s">
        <v>28</v>
      </c>
      <c r="C283">
        <v>50</v>
      </c>
      <c r="D283" t="s">
        <v>29</v>
      </c>
      <c r="E283">
        <v>6.1</v>
      </c>
      <c r="F283">
        <v>6</v>
      </c>
      <c r="G283">
        <v>90</v>
      </c>
      <c r="H283">
        <v>8</v>
      </c>
      <c r="I283" t="s">
        <v>15</v>
      </c>
      <c r="J283" t="s">
        <v>55</v>
      </c>
      <c r="K283">
        <v>75</v>
      </c>
      <c r="L283">
        <v>10000</v>
      </c>
      <c r="M283" t="s">
        <v>24</v>
      </c>
      <c r="N283" t="str">
        <f t="shared" si="28"/>
        <v>Old</v>
      </c>
      <c r="O283" t="str">
        <f t="shared" si="29"/>
        <v>Okay Sleep</v>
      </c>
      <c r="P283" t="str">
        <f t="shared" si="30"/>
        <v>Very High</v>
      </c>
      <c r="Q283" t="str">
        <f t="shared" si="31"/>
        <v>High</v>
      </c>
      <c r="R283" t="str">
        <f t="shared" si="32"/>
        <v>HP Stage 2</v>
      </c>
      <c r="S283" t="str">
        <f t="shared" si="33"/>
        <v>Below Average</v>
      </c>
      <c r="T283" t="str">
        <f t="shared" si="34"/>
        <v>Highly Active</v>
      </c>
    </row>
    <row r="284" spans="1:20" x14ac:dyDescent="0.25">
      <c r="A284">
        <v>283</v>
      </c>
      <c r="B284" t="s">
        <v>28</v>
      </c>
      <c r="C284">
        <v>50</v>
      </c>
      <c r="D284" t="s">
        <v>29</v>
      </c>
      <c r="E284">
        <v>6</v>
      </c>
      <c r="F284">
        <v>6</v>
      </c>
      <c r="G284">
        <v>90</v>
      </c>
      <c r="H284">
        <v>8</v>
      </c>
      <c r="I284" t="s">
        <v>15</v>
      </c>
      <c r="J284" t="s">
        <v>55</v>
      </c>
      <c r="K284">
        <v>75</v>
      </c>
      <c r="L284">
        <v>10000</v>
      </c>
      <c r="M284" t="s">
        <v>24</v>
      </c>
      <c r="N284" t="str">
        <f t="shared" si="28"/>
        <v>Old</v>
      </c>
      <c r="O284" t="str">
        <f t="shared" si="29"/>
        <v>Okay Sleep</v>
      </c>
      <c r="P284" t="str">
        <f t="shared" si="30"/>
        <v>Very High</v>
      </c>
      <c r="Q284" t="str">
        <f t="shared" si="31"/>
        <v>High</v>
      </c>
      <c r="R284" t="str">
        <f t="shared" si="32"/>
        <v>HP Stage 2</v>
      </c>
      <c r="S284" t="str">
        <f t="shared" si="33"/>
        <v>Below Average</v>
      </c>
      <c r="T284" t="str">
        <f t="shared" si="34"/>
        <v>Highly Active</v>
      </c>
    </row>
    <row r="285" spans="1:20" x14ac:dyDescent="0.25">
      <c r="A285">
        <v>284</v>
      </c>
      <c r="B285" t="s">
        <v>28</v>
      </c>
      <c r="C285">
        <v>50</v>
      </c>
      <c r="D285" t="s">
        <v>29</v>
      </c>
      <c r="E285">
        <v>6</v>
      </c>
      <c r="F285">
        <v>6</v>
      </c>
      <c r="G285">
        <v>90</v>
      </c>
      <c r="H285">
        <v>8</v>
      </c>
      <c r="I285" t="s">
        <v>15</v>
      </c>
      <c r="J285" t="s">
        <v>55</v>
      </c>
      <c r="K285">
        <v>75</v>
      </c>
      <c r="L285">
        <v>10000</v>
      </c>
      <c r="M285" t="s">
        <v>24</v>
      </c>
      <c r="N285" t="str">
        <f t="shared" si="28"/>
        <v>Old</v>
      </c>
      <c r="O285" t="str">
        <f t="shared" si="29"/>
        <v>Okay Sleep</v>
      </c>
      <c r="P285" t="str">
        <f t="shared" si="30"/>
        <v>Very High</v>
      </c>
      <c r="Q285" t="str">
        <f t="shared" si="31"/>
        <v>High</v>
      </c>
      <c r="R285" t="str">
        <f t="shared" si="32"/>
        <v>HP Stage 2</v>
      </c>
      <c r="S285" t="str">
        <f t="shared" si="33"/>
        <v>Below Average</v>
      </c>
      <c r="T285" t="str">
        <f t="shared" si="34"/>
        <v>Highly Active</v>
      </c>
    </row>
    <row r="286" spans="1:20" x14ac:dyDescent="0.25">
      <c r="A286">
        <v>285</v>
      </c>
      <c r="B286" t="s">
        <v>28</v>
      </c>
      <c r="C286">
        <v>50</v>
      </c>
      <c r="D286" t="s">
        <v>29</v>
      </c>
      <c r="E286">
        <v>6</v>
      </c>
      <c r="F286">
        <v>6</v>
      </c>
      <c r="G286">
        <v>90</v>
      </c>
      <c r="H286">
        <v>8</v>
      </c>
      <c r="I286" t="s">
        <v>15</v>
      </c>
      <c r="J286" t="s">
        <v>55</v>
      </c>
      <c r="K286">
        <v>75</v>
      </c>
      <c r="L286">
        <v>10000</v>
      </c>
      <c r="M286" t="s">
        <v>24</v>
      </c>
      <c r="N286" t="str">
        <f t="shared" si="28"/>
        <v>Old</v>
      </c>
      <c r="O286" t="str">
        <f t="shared" si="29"/>
        <v>Okay Sleep</v>
      </c>
      <c r="P286" t="str">
        <f t="shared" si="30"/>
        <v>Very High</v>
      </c>
      <c r="Q286" t="str">
        <f t="shared" si="31"/>
        <v>High</v>
      </c>
      <c r="R286" t="str">
        <f t="shared" si="32"/>
        <v>HP Stage 2</v>
      </c>
      <c r="S286" t="str">
        <f t="shared" si="33"/>
        <v>Below Average</v>
      </c>
      <c r="T286" t="str">
        <f t="shared" si="34"/>
        <v>Highly Active</v>
      </c>
    </row>
    <row r="287" spans="1:20" x14ac:dyDescent="0.25">
      <c r="A287">
        <v>286</v>
      </c>
      <c r="B287" t="s">
        <v>28</v>
      </c>
      <c r="C287">
        <v>50</v>
      </c>
      <c r="D287" t="s">
        <v>29</v>
      </c>
      <c r="E287">
        <v>6</v>
      </c>
      <c r="F287">
        <v>6</v>
      </c>
      <c r="G287">
        <v>90</v>
      </c>
      <c r="H287">
        <v>8</v>
      </c>
      <c r="I287" t="s">
        <v>15</v>
      </c>
      <c r="J287" t="s">
        <v>55</v>
      </c>
      <c r="K287">
        <v>75</v>
      </c>
      <c r="L287">
        <v>10000</v>
      </c>
      <c r="M287" t="s">
        <v>24</v>
      </c>
      <c r="N287" t="str">
        <f t="shared" si="28"/>
        <v>Old</v>
      </c>
      <c r="O287" t="str">
        <f t="shared" si="29"/>
        <v>Okay Sleep</v>
      </c>
      <c r="P287" t="str">
        <f t="shared" si="30"/>
        <v>Very High</v>
      </c>
      <c r="Q287" t="str">
        <f t="shared" si="31"/>
        <v>High</v>
      </c>
      <c r="R287" t="str">
        <f t="shared" si="32"/>
        <v>HP Stage 2</v>
      </c>
      <c r="S287" t="str">
        <f t="shared" si="33"/>
        <v>Below Average</v>
      </c>
      <c r="T287" t="str">
        <f t="shared" si="34"/>
        <v>Highly Active</v>
      </c>
    </row>
    <row r="288" spans="1:20" x14ac:dyDescent="0.25">
      <c r="A288">
        <v>287</v>
      </c>
      <c r="B288" t="s">
        <v>28</v>
      </c>
      <c r="C288">
        <v>50</v>
      </c>
      <c r="D288" t="s">
        <v>29</v>
      </c>
      <c r="E288">
        <v>6</v>
      </c>
      <c r="F288">
        <v>6</v>
      </c>
      <c r="G288">
        <v>90</v>
      </c>
      <c r="H288">
        <v>8</v>
      </c>
      <c r="I288" t="s">
        <v>15</v>
      </c>
      <c r="J288" t="s">
        <v>55</v>
      </c>
      <c r="K288">
        <v>75</v>
      </c>
      <c r="L288">
        <v>10000</v>
      </c>
      <c r="M288" t="s">
        <v>24</v>
      </c>
      <c r="N288" t="str">
        <f t="shared" si="28"/>
        <v>Old</v>
      </c>
      <c r="O288" t="str">
        <f t="shared" si="29"/>
        <v>Okay Sleep</v>
      </c>
      <c r="P288" t="str">
        <f t="shared" si="30"/>
        <v>Very High</v>
      </c>
      <c r="Q288" t="str">
        <f t="shared" si="31"/>
        <v>High</v>
      </c>
      <c r="R288" t="str">
        <f t="shared" si="32"/>
        <v>HP Stage 2</v>
      </c>
      <c r="S288" t="str">
        <f t="shared" si="33"/>
        <v>Below Average</v>
      </c>
      <c r="T288" t="str">
        <f t="shared" si="34"/>
        <v>Highly Active</v>
      </c>
    </row>
    <row r="289" spans="1:20" x14ac:dyDescent="0.25">
      <c r="A289">
        <v>288</v>
      </c>
      <c r="B289" t="s">
        <v>28</v>
      </c>
      <c r="C289">
        <v>50</v>
      </c>
      <c r="D289" t="s">
        <v>29</v>
      </c>
      <c r="E289">
        <v>6</v>
      </c>
      <c r="F289">
        <v>6</v>
      </c>
      <c r="G289">
        <v>90</v>
      </c>
      <c r="H289">
        <v>8</v>
      </c>
      <c r="I289" t="s">
        <v>15</v>
      </c>
      <c r="J289" t="s">
        <v>55</v>
      </c>
      <c r="K289">
        <v>75</v>
      </c>
      <c r="L289">
        <v>10000</v>
      </c>
      <c r="M289" t="s">
        <v>24</v>
      </c>
      <c r="N289" t="str">
        <f t="shared" si="28"/>
        <v>Old</v>
      </c>
      <c r="O289" t="str">
        <f t="shared" si="29"/>
        <v>Okay Sleep</v>
      </c>
      <c r="P289" t="str">
        <f t="shared" si="30"/>
        <v>Very High</v>
      </c>
      <c r="Q289" t="str">
        <f t="shared" si="31"/>
        <v>High</v>
      </c>
      <c r="R289" t="str">
        <f t="shared" si="32"/>
        <v>HP Stage 2</v>
      </c>
      <c r="S289" t="str">
        <f t="shared" si="33"/>
        <v>Below Average</v>
      </c>
      <c r="T289" t="str">
        <f t="shared" si="34"/>
        <v>Highly Active</v>
      </c>
    </row>
    <row r="290" spans="1:20" x14ac:dyDescent="0.25">
      <c r="A290">
        <v>289</v>
      </c>
      <c r="B290" t="s">
        <v>28</v>
      </c>
      <c r="C290">
        <v>50</v>
      </c>
      <c r="D290" t="s">
        <v>29</v>
      </c>
      <c r="E290">
        <v>6</v>
      </c>
      <c r="F290">
        <v>6</v>
      </c>
      <c r="G290">
        <v>90</v>
      </c>
      <c r="H290">
        <v>8</v>
      </c>
      <c r="I290" t="s">
        <v>15</v>
      </c>
      <c r="J290" t="s">
        <v>55</v>
      </c>
      <c r="K290">
        <v>75</v>
      </c>
      <c r="L290">
        <v>10000</v>
      </c>
      <c r="M290" t="s">
        <v>24</v>
      </c>
      <c r="N290" t="str">
        <f t="shared" si="28"/>
        <v>Old</v>
      </c>
      <c r="O290" t="str">
        <f t="shared" si="29"/>
        <v>Okay Sleep</v>
      </c>
      <c r="P290" t="str">
        <f t="shared" si="30"/>
        <v>Very High</v>
      </c>
      <c r="Q290" t="str">
        <f t="shared" si="31"/>
        <v>High</v>
      </c>
      <c r="R290" t="str">
        <f t="shared" si="32"/>
        <v>HP Stage 2</v>
      </c>
      <c r="S290" t="str">
        <f t="shared" si="33"/>
        <v>Below Average</v>
      </c>
      <c r="T290" t="str">
        <f t="shared" si="34"/>
        <v>Highly Active</v>
      </c>
    </row>
    <row r="291" spans="1:20" x14ac:dyDescent="0.25">
      <c r="A291">
        <v>290</v>
      </c>
      <c r="B291" t="s">
        <v>28</v>
      </c>
      <c r="C291">
        <v>50</v>
      </c>
      <c r="D291" t="s">
        <v>29</v>
      </c>
      <c r="E291">
        <v>6.1</v>
      </c>
      <c r="F291">
        <v>6</v>
      </c>
      <c r="G291">
        <v>90</v>
      </c>
      <c r="H291">
        <v>8</v>
      </c>
      <c r="I291" t="s">
        <v>15</v>
      </c>
      <c r="J291" t="s">
        <v>55</v>
      </c>
      <c r="K291">
        <v>75</v>
      </c>
      <c r="L291">
        <v>10000</v>
      </c>
      <c r="M291" t="s">
        <v>24</v>
      </c>
      <c r="N291" t="str">
        <f t="shared" si="28"/>
        <v>Old</v>
      </c>
      <c r="O291" t="str">
        <f t="shared" si="29"/>
        <v>Okay Sleep</v>
      </c>
      <c r="P291" t="str">
        <f t="shared" si="30"/>
        <v>Very High</v>
      </c>
      <c r="Q291" t="str">
        <f t="shared" si="31"/>
        <v>High</v>
      </c>
      <c r="R291" t="str">
        <f t="shared" si="32"/>
        <v>HP Stage 2</v>
      </c>
      <c r="S291" t="str">
        <f t="shared" si="33"/>
        <v>Below Average</v>
      </c>
      <c r="T291" t="str">
        <f t="shared" si="34"/>
        <v>Highly Active</v>
      </c>
    </row>
    <row r="292" spans="1:20" x14ac:dyDescent="0.25">
      <c r="A292">
        <v>291</v>
      </c>
      <c r="B292" t="s">
        <v>28</v>
      </c>
      <c r="C292">
        <v>50</v>
      </c>
      <c r="D292" t="s">
        <v>29</v>
      </c>
      <c r="E292">
        <v>6</v>
      </c>
      <c r="F292">
        <v>6</v>
      </c>
      <c r="G292">
        <v>90</v>
      </c>
      <c r="H292">
        <v>8</v>
      </c>
      <c r="I292" t="s">
        <v>15</v>
      </c>
      <c r="J292" t="s">
        <v>55</v>
      </c>
      <c r="K292">
        <v>75</v>
      </c>
      <c r="L292">
        <v>10000</v>
      </c>
      <c r="M292" t="s">
        <v>24</v>
      </c>
      <c r="N292" t="str">
        <f t="shared" si="28"/>
        <v>Old</v>
      </c>
      <c r="O292" t="str">
        <f t="shared" si="29"/>
        <v>Okay Sleep</v>
      </c>
      <c r="P292" t="str">
        <f t="shared" si="30"/>
        <v>Very High</v>
      </c>
      <c r="Q292" t="str">
        <f t="shared" si="31"/>
        <v>High</v>
      </c>
      <c r="R292" t="str">
        <f t="shared" si="32"/>
        <v>HP Stage 2</v>
      </c>
      <c r="S292" t="str">
        <f t="shared" si="33"/>
        <v>Below Average</v>
      </c>
      <c r="T292" t="str">
        <f t="shared" si="34"/>
        <v>Highly Active</v>
      </c>
    </row>
    <row r="293" spans="1:20" x14ac:dyDescent="0.25">
      <c r="A293">
        <v>292</v>
      </c>
      <c r="B293" t="s">
        <v>28</v>
      </c>
      <c r="C293">
        <v>50</v>
      </c>
      <c r="D293" t="s">
        <v>29</v>
      </c>
      <c r="E293">
        <v>6.1</v>
      </c>
      <c r="F293">
        <v>6</v>
      </c>
      <c r="G293">
        <v>90</v>
      </c>
      <c r="H293">
        <v>8</v>
      </c>
      <c r="I293" t="s">
        <v>15</v>
      </c>
      <c r="J293" t="s">
        <v>55</v>
      </c>
      <c r="K293">
        <v>75</v>
      </c>
      <c r="L293">
        <v>10000</v>
      </c>
      <c r="M293" t="s">
        <v>24</v>
      </c>
      <c r="N293" t="str">
        <f t="shared" si="28"/>
        <v>Old</v>
      </c>
      <c r="O293" t="str">
        <f t="shared" si="29"/>
        <v>Okay Sleep</v>
      </c>
      <c r="P293" t="str">
        <f t="shared" si="30"/>
        <v>Very High</v>
      </c>
      <c r="Q293" t="str">
        <f t="shared" si="31"/>
        <v>High</v>
      </c>
      <c r="R293" t="str">
        <f t="shared" si="32"/>
        <v>HP Stage 2</v>
      </c>
      <c r="S293" t="str">
        <f t="shared" si="33"/>
        <v>Below Average</v>
      </c>
      <c r="T293" t="str">
        <f t="shared" si="34"/>
        <v>Highly Active</v>
      </c>
    </row>
    <row r="294" spans="1:20" x14ac:dyDescent="0.25">
      <c r="A294">
        <v>293</v>
      </c>
      <c r="B294" t="s">
        <v>28</v>
      </c>
      <c r="C294">
        <v>50</v>
      </c>
      <c r="D294" t="s">
        <v>29</v>
      </c>
      <c r="E294">
        <v>6.1</v>
      </c>
      <c r="F294">
        <v>6</v>
      </c>
      <c r="G294">
        <v>90</v>
      </c>
      <c r="H294">
        <v>8</v>
      </c>
      <c r="I294" t="s">
        <v>15</v>
      </c>
      <c r="J294" t="s">
        <v>55</v>
      </c>
      <c r="K294">
        <v>75</v>
      </c>
      <c r="L294">
        <v>10000</v>
      </c>
      <c r="M294" t="s">
        <v>24</v>
      </c>
      <c r="N294" t="str">
        <f t="shared" si="28"/>
        <v>Old</v>
      </c>
      <c r="O294" t="str">
        <f t="shared" si="29"/>
        <v>Okay Sleep</v>
      </c>
      <c r="P294" t="str">
        <f t="shared" si="30"/>
        <v>Very High</v>
      </c>
      <c r="Q294" t="str">
        <f t="shared" si="31"/>
        <v>High</v>
      </c>
      <c r="R294" t="str">
        <f t="shared" si="32"/>
        <v>HP Stage 2</v>
      </c>
      <c r="S294" t="str">
        <f t="shared" si="33"/>
        <v>Below Average</v>
      </c>
      <c r="T294" t="str">
        <f t="shared" si="34"/>
        <v>Highly Active</v>
      </c>
    </row>
    <row r="295" spans="1:20" x14ac:dyDescent="0.25">
      <c r="A295">
        <v>294</v>
      </c>
      <c r="B295" t="s">
        <v>28</v>
      </c>
      <c r="C295">
        <v>50</v>
      </c>
      <c r="D295" t="s">
        <v>29</v>
      </c>
      <c r="E295">
        <v>6</v>
      </c>
      <c r="F295">
        <v>6</v>
      </c>
      <c r="G295">
        <v>90</v>
      </c>
      <c r="H295">
        <v>8</v>
      </c>
      <c r="I295" t="s">
        <v>15</v>
      </c>
      <c r="J295" t="s">
        <v>55</v>
      </c>
      <c r="K295">
        <v>75</v>
      </c>
      <c r="L295">
        <v>10000</v>
      </c>
      <c r="M295" t="s">
        <v>24</v>
      </c>
      <c r="N295" t="str">
        <f t="shared" si="28"/>
        <v>Old</v>
      </c>
      <c r="O295" t="str">
        <f t="shared" si="29"/>
        <v>Okay Sleep</v>
      </c>
      <c r="P295" t="str">
        <f t="shared" si="30"/>
        <v>Very High</v>
      </c>
      <c r="Q295" t="str">
        <f t="shared" si="31"/>
        <v>High</v>
      </c>
      <c r="R295" t="str">
        <f t="shared" si="32"/>
        <v>HP Stage 2</v>
      </c>
      <c r="S295" t="str">
        <f t="shared" si="33"/>
        <v>Below Average</v>
      </c>
      <c r="T295" t="str">
        <f t="shared" si="34"/>
        <v>Highly Active</v>
      </c>
    </row>
    <row r="296" spans="1:20" x14ac:dyDescent="0.25">
      <c r="A296">
        <v>295</v>
      </c>
      <c r="B296" t="s">
        <v>28</v>
      </c>
      <c r="C296">
        <v>50</v>
      </c>
      <c r="D296" t="s">
        <v>29</v>
      </c>
      <c r="E296">
        <v>6.1</v>
      </c>
      <c r="F296">
        <v>6</v>
      </c>
      <c r="G296">
        <v>90</v>
      </c>
      <c r="H296">
        <v>8</v>
      </c>
      <c r="I296" t="s">
        <v>15</v>
      </c>
      <c r="J296" t="s">
        <v>55</v>
      </c>
      <c r="K296">
        <v>75</v>
      </c>
      <c r="L296">
        <v>10000</v>
      </c>
      <c r="M296" t="s">
        <v>24</v>
      </c>
      <c r="N296" t="str">
        <f t="shared" si="28"/>
        <v>Old</v>
      </c>
      <c r="O296" t="str">
        <f t="shared" si="29"/>
        <v>Okay Sleep</v>
      </c>
      <c r="P296" t="str">
        <f t="shared" si="30"/>
        <v>Very High</v>
      </c>
      <c r="Q296" t="str">
        <f t="shared" si="31"/>
        <v>High</v>
      </c>
      <c r="R296" t="str">
        <f t="shared" si="32"/>
        <v>HP Stage 2</v>
      </c>
      <c r="S296" t="str">
        <f t="shared" si="33"/>
        <v>Below Average</v>
      </c>
      <c r="T296" t="str">
        <f t="shared" si="34"/>
        <v>Highly Active</v>
      </c>
    </row>
    <row r="297" spans="1:20" x14ac:dyDescent="0.25">
      <c r="A297">
        <v>296</v>
      </c>
      <c r="B297" t="s">
        <v>28</v>
      </c>
      <c r="C297">
        <v>50</v>
      </c>
      <c r="D297" t="s">
        <v>29</v>
      </c>
      <c r="E297">
        <v>6</v>
      </c>
      <c r="F297">
        <v>6</v>
      </c>
      <c r="G297">
        <v>90</v>
      </c>
      <c r="H297">
        <v>8</v>
      </c>
      <c r="I297" t="s">
        <v>15</v>
      </c>
      <c r="J297" t="s">
        <v>55</v>
      </c>
      <c r="K297">
        <v>75</v>
      </c>
      <c r="L297">
        <v>10000</v>
      </c>
      <c r="M297" t="s">
        <v>24</v>
      </c>
      <c r="N297" t="str">
        <f t="shared" si="28"/>
        <v>Old</v>
      </c>
      <c r="O297" t="str">
        <f t="shared" si="29"/>
        <v>Okay Sleep</v>
      </c>
      <c r="P297" t="str">
        <f t="shared" si="30"/>
        <v>Very High</v>
      </c>
      <c r="Q297" t="str">
        <f t="shared" si="31"/>
        <v>High</v>
      </c>
      <c r="R297" t="str">
        <f t="shared" si="32"/>
        <v>HP Stage 2</v>
      </c>
      <c r="S297" t="str">
        <f t="shared" si="33"/>
        <v>Below Average</v>
      </c>
      <c r="T297" t="str">
        <f t="shared" si="34"/>
        <v>Highly Active</v>
      </c>
    </row>
    <row r="298" spans="1:20" x14ac:dyDescent="0.25">
      <c r="A298">
        <v>297</v>
      </c>
      <c r="B298" t="s">
        <v>28</v>
      </c>
      <c r="C298">
        <v>50</v>
      </c>
      <c r="D298" t="s">
        <v>29</v>
      </c>
      <c r="E298">
        <v>6.1</v>
      </c>
      <c r="F298">
        <v>6</v>
      </c>
      <c r="G298">
        <v>90</v>
      </c>
      <c r="H298">
        <v>8</v>
      </c>
      <c r="I298" t="s">
        <v>15</v>
      </c>
      <c r="J298" t="s">
        <v>55</v>
      </c>
      <c r="K298">
        <v>75</v>
      </c>
      <c r="L298">
        <v>10000</v>
      </c>
      <c r="M298" t="s">
        <v>24</v>
      </c>
      <c r="N298" t="str">
        <f t="shared" si="28"/>
        <v>Old</v>
      </c>
      <c r="O298" t="str">
        <f t="shared" si="29"/>
        <v>Okay Sleep</v>
      </c>
      <c r="P298" t="str">
        <f t="shared" si="30"/>
        <v>Very High</v>
      </c>
      <c r="Q298" t="str">
        <f t="shared" si="31"/>
        <v>High</v>
      </c>
      <c r="R298" t="str">
        <f t="shared" si="32"/>
        <v>HP Stage 2</v>
      </c>
      <c r="S298" t="str">
        <f t="shared" si="33"/>
        <v>Below Average</v>
      </c>
      <c r="T298" t="str">
        <f t="shared" si="34"/>
        <v>Highly Active</v>
      </c>
    </row>
    <row r="299" spans="1:20" x14ac:dyDescent="0.25">
      <c r="A299">
        <v>298</v>
      </c>
      <c r="B299" t="s">
        <v>28</v>
      </c>
      <c r="C299">
        <v>50</v>
      </c>
      <c r="D299" t="s">
        <v>29</v>
      </c>
      <c r="E299">
        <v>6.1</v>
      </c>
      <c r="F299">
        <v>6</v>
      </c>
      <c r="G299">
        <v>90</v>
      </c>
      <c r="H299">
        <v>8</v>
      </c>
      <c r="I299" t="s">
        <v>15</v>
      </c>
      <c r="J299" t="s">
        <v>55</v>
      </c>
      <c r="K299">
        <v>75</v>
      </c>
      <c r="L299">
        <v>10000</v>
      </c>
      <c r="M299" t="s">
        <v>24</v>
      </c>
      <c r="N299" t="str">
        <f t="shared" si="28"/>
        <v>Old</v>
      </c>
      <c r="O299" t="str">
        <f t="shared" si="29"/>
        <v>Okay Sleep</v>
      </c>
      <c r="P299" t="str">
        <f t="shared" si="30"/>
        <v>Very High</v>
      </c>
      <c r="Q299" t="str">
        <f t="shared" si="31"/>
        <v>High</v>
      </c>
      <c r="R299" t="str">
        <f t="shared" si="32"/>
        <v>HP Stage 2</v>
      </c>
      <c r="S299" t="str">
        <f t="shared" si="33"/>
        <v>Below Average</v>
      </c>
      <c r="T299" t="str">
        <f t="shared" si="34"/>
        <v>Highly Active</v>
      </c>
    </row>
    <row r="300" spans="1:20" x14ac:dyDescent="0.25">
      <c r="A300">
        <v>299</v>
      </c>
      <c r="B300" t="s">
        <v>28</v>
      </c>
      <c r="C300">
        <v>51</v>
      </c>
      <c r="D300" t="s">
        <v>34</v>
      </c>
      <c r="E300">
        <v>8.5</v>
      </c>
      <c r="F300">
        <v>9</v>
      </c>
      <c r="G300">
        <v>30</v>
      </c>
      <c r="H300">
        <v>3</v>
      </c>
      <c r="I300" t="s">
        <v>19</v>
      </c>
      <c r="J300" t="s">
        <v>20</v>
      </c>
      <c r="K300">
        <v>65</v>
      </c>
      <c r="L300">
        <v>5000</v>
      </c>
      <c r="M300" t="s">
        <v>17</v>
      </c>
      <c r="N300" t="str">
        <f t="shared" si="28"/>
        <v>Old</v>
      </c>
      <c r="O300" t="str">
        <f t="shared" si="29"/>
        <v>Well Rested</v>
      </c>
      <c r="P300" t="str">
        <f t="shared" si="30"/>
        <v>Low</v>
      </c>
      <c r="Q300" t="str">
        <f t="shared" si="31"/>
        <v>Low</v>
      </c>
      <c r="R300" t="str">
        <f t="shared" si="32"/>
        <v>Elevated</v>
      </c>
      <c r="S300" t="str">
        <f t="shared" si="33"/>
        <v>Good</v>
      </c>
      <c r="T300" t="str">
        <f t="shared" si="34"/>
        <v>Low Active</v>
      </c>
    </row>
    <row r="301" spans="1:20" x14ac:dyDescent="0.25">
      <c r="A301">
        <v>300</v>
      </c>
      <c r="B301" t="s">
        <v>28</v>
      </c>
      <c r="C301">
        <v>51</v>
      </c>
      <c r="D301" t="s">
        <v>34</v>
      </c>
      <c r="E301">
        <v>8.5</v>
      </c>
      <c r="F301">
        <v>9</v>
      </c>
      <c r="G301">
        <v>30</v>
      </c>
      <c r="H301">
        <v>3</v>
      </c>
      <c r="I301" t="s">
        <v>19</v>
      </c>
      <c r="J301" t="s">
        <v>20</v>
      </c>
      <c r="K301">
        <v>65</v>
      </c>
      <c r="L301">
        <v>5000</v>
      </c>
      <c r="M301" t="s">
        <v>17</v>
      </c>
      <c r="N301" t="str">
        <f t="shared" si="28"/>
        <v>Old</v>
      </c>
      <c r="O301" t="str">
        <f t="shared" si="29"/>
        <v>Well Rested</v>
      </c>
      <c r="P301" t="str">
        <f t="shared" si="30"/>
        <v>Low</v>
      </c>
      <c r="Q301" t="str">
        <f t="shared" si="31"/>
        <v>Low</v>
      </c>
      <c r="R301" t="str">
        <f t="shared" si="32"/>
        <v>Elevated</v>
      </c>
      <c r="S301" t="str">
        <f t="shared" si="33"/>
        <v>Good</v>
      </c>
      <c r="T301" t="str">
        <f t="shared" si="34"/>
        <v>Low Active</v>
      </c>
    </row>
    <row r="302" spans="1:20" x14ac:dyDescent="0.25">
      <c r="A302">
        <v>301</v>
      </c>
      <c r="B302" t="s">
        <v>28</v>
      </c>
      <c r="C302">
        <v>51</v>
      </c>
      <c r="D302" t="s">
        <v>34</v>
      </c>
      <c r="E302">
        <v>8.5</v>
      </c>
      <c r="F302">
        <v>9</v>
      </c>
      <c r="G302">
        <v>30</v>
      </c>
      <c r="H302">
        <v>3</v>
      </c>
      <c r="I302" t="s">
        <v>19</v>
      </c>
      <c r="J302" t="s">
        <v>20</v>
      </c>
      <c r="K302">
        <v>65</v>
      </c>
      <c r="L302">
        <v>5000</v>
      </c>
      <c r="M302" t="s">
        <v>17</v>
      </c>
      <c r="N302" t="str">
        <f t="shared" si="28"/>
        <v>Old</v>
      </c>
      <c r="O302" t="str">
        <f t="shared" si="29"/>
        <v>Well Rested</v>
      </c>
      <c r="P302" t="str">
        <f t="shared" si="30"/>
        <v>Low</v>
      </c>
      <c r="Q302" t="str">
        <f t="shared" si="31"/>
        <v>Low</v>
      </c>
      <c r="R302" t="str">
        <f t="shared" si="32"/>
        <v>Elevated</v>
      </c>
      <c r="S302" t="str">
        <f t="shared" si="33"/>
        <v>Good</v>
      </c>
      <c r="T302" t="str">
        <f t="shared" si="34"/>
        <v>Low Active</v>
      </c>
    </row>
    <row r="303" spans="1:20" x14ac:dyDescent="0.25">
      <c r="A303">
        <v>302</v>
      </c>
      <c r="B303" t="s">
        <v>28</v>
      </c>
      <c r="C303">
        <v>51</v>
      </c>
      <c r="D303" t="s">
        <v>34</v>
      </c>
      <c r="E303">
        <v>8.5</v>
      </c>
      <c r="F303">
        <v>9</v>
      </c>
      <c r="G303">
        <v>30</v>
      </c>
      <c r="H303">
        <v>3</v>
      </c>
      <c r="I303" t="s">
        <v>19</v>
      </c>
      <c r="J303" t="s">
        <v>20</v>
      </c>
      <c r="K303">
        <v>65</v>
      </c>
      <c r="L303">
        <v>5000</v>
      </c>
      <c r="M303" t="s">
        <v>17</v>
      </c>
      <c r="N303" t="str">
        <f t="shared" si="28"/>
        <v>Old</v>
      </c>
      <c r="O303" t="str">
        <f t="shared" si="29"/>
        <v>Well Rested</v>
      </c>
      <c r="P303" t="str">
        <f t="shared" si="30"/>
        <v>Low</v>
      </c>
      <c r="Q303" t="str">
        <f t="shared" si="31"/>
        <v>Low</v>
      </c>
      <c r="R303" t="str">
        <f t="shared" si="32"/>
        <v>Elevated</v>
      </c>
      <c r="S303" t="str">
        <f t="shared" si="33"/>
        <v>Good</v>
      </c>
      <c r="T303" t="str">
        <f t="shared" si="34"/>
        <v>Low Active</v>
      </c>
    </row>
    <row r="304" spans="1:20" x14ac:dyDescent="0.25">
      <c r="A304">
        <v>303</v>
      </c>
      <c r="B304" t="s">
        <v>28</v>
      </c>
      <c r="C304">
        <v>51</v>
      </c>
      <c r="D304" t="s">
        <v>29</v>
      </c>
      <c r="E304">
        <v>7.1</v>
      </c>
      <c r="F304">
        <v>7</v>
      </c>
      <c r="G304">
        <v>55</v>
      </c>
      <c r="H304">
        <v>6</v>
      </c>
      <c r="I304" t="s">
        <v>30</v>
      </c>
      <c r="J304" t="s">
        <v>49</v>
      </c>
      <c r="K304">
        <v>72</v>
      </c>
      <c r="L304">
        <v>6000</v>
      </c>
      <c r="M304" t="s">
        <v>17</v>
      </c>
      <c r="N304" t="str">
        <f t="shared" si="28"/>
        <v>Old</v>
      </c>
      <c r="O304" t="str">
        <f t="shared" si="29"/>
        <v>Good Sleep</v>
      </c>
      <c r="P304" t="str">
        <f t="shared" si="30"/>
        <v>Moderate</v>
      </c>
      <c r="Q304" t="str">
        <f t="shared" si="31"/>
        <v>Mid</v>
      </c>
      <c r="R304" t="str">
        <f t="shared" si="32"/>
        <v>Elevated</v>
      </c>
      <c r="S304" t="str">
        <f t="shared" si="33"/>
        <v>Average</v>
      </c>
      <c r="T304" t="str">
        <f t="shared" si="34"/>
        <v>Active</v>
      </c>
    </row>
    <row r="305" spans="1:20" x14ac:dyDescent="0.25">
      <c r="A305">
        <v>304</v>
      </c>
      <c r="B305" t="s">
        <v>28</v>
      </c>
      <c r="C305">
        <v>51</v>
      </c>
      <c r="D305" t="s">
        <v>29</v>
      </c>
      <c r="E305">
        <v>6</v>
      </c>
      <c r="F305">
        <v>6</v>
      </c>
      <c r="G305">
        <v>90</v>
      </c>
      <c r="H305">
        <v>8</v>
      </c>
      <c r="I305" t="s">
        <v>15</v>
      </c>
      <c r="J305" t="s">
        <v>55</v>
      </c>
      <c r="K305">
        <v>75</v>
      </c>
      <c r="L305">
        <v>10000</v>
      </c>
      <c r="M305" t="s">
        <v>24</v>
      </c>
      <c r="N305" t="str">
        <f t="shared" si="28"/>
        <v>Old</v>
      </c>
      <c r="O305" t="str">
        <f t="shared" si="29"/>
        <v>Okay Sleep</v>
      </c>
      <c r="P305" t="str">
        <f t="shared" si="30"/>
        <v>Very High</v>
      </c>
      <c r="Q305" t="str">
        <f t="shared" si="31"/>
        <v>High</v>
      </c>
      <c r="R305" t="str">
        <f t="shared" si="32"/>
        <v>HP Stage 2</v>
      </c>
      <c r="S305" t="str">
        <f t="shared" si="33"/>
        <v>Below Average</v>
      </c>
      <c r="T305" t="str">
        <f t="shared" si="34"/>
        <v>Highly Active</v>
      </c>
    </row>
    <row r="306" spans="1:20" x14ac:dyDescent="0.25">
      <c r="A306">
        <v>305</v>
      </c>
      <c r="B306" t="s">
        <v>28</v>
      </c>
      <c r="C306">
        <v>51</v>
      </c>
      <c r="D306" t="s">
        <v>29</v>
      </c>
      <c r="E306">
        <v>6.1</v>
      </c>
      <c r="F306">
        <v>6</v>
      </c>
      <c r="G306">
        <v>90</v>
      </c>
      <c r="H306">
        <v>8</v>
      </c>
      <c r="I306" t="s">
        <v>15</v>
      </c>
      <c r="J306" t="s">
        <v>55</v>
      </c>
      <c r="K306">
        <v>75</v>
      </c>
      <c r="L306">
        <v>10000</v>
      </c>
      <c r="M306" t="s">
        <v>24</v>
      </c>
      <c r="N306" t="str">
        <f t="shared" si="28"/>
        <v>Old</v>
      </c>
      <c r="O306" t="str">
        <f t="shared" si="29"/>
        <v>Okay Sleep</v>
      </c>
      <c r="P306" t="str">
        <f t="shared" si="30"/>
        <v>Very High</v>
      </c>
      <c r="Q306" t="str">
        <f t="shared" si="31"/>
        <v>High</v>
      </c>
      <c r="R306" t="str">
        <f t="shared" si="32"/>
        <v>HP Stage 2</v>
      </c>
      <c r="S306" t="str">
        <f t="shared" si="33"/>
        <v>Below Average</v>
      </c>
      <c r="T306" t="str">
        <f t="shared" si="34"/>
        <v>Highly Active</v>
      </c>
    </row>
    <row r="307" spans="1:20" x14ac:dyDescent="0.25">
      <c r="A307">
        <v>306</v>
      </c>
      <c r="B307" t="s">
        <v>28</v>
      </c>
      <c r="C307">
        <v>51</v>
      </c>
      <c r="D307" t="s">
        <v>29</v>
      </c>
      <c r="E307">
        <v>6.1</v>
      </c>
      <c r="F307">
        <v>6</v>
      </c>
      <c r="G307">
        <v>90</v>
      </c>
      <c r="H307">
        <v>8</v>
      </c>
      <c r="I307" t="s">
        <v>15</v>
      </c>
      <c r="J307" t="s">
        <v>55</v>
      </c>
      <c r="K307">
        <v>75</v>
      </c>
      <c r="L307">
        <v>10000</v>
      </c>
      <c r="M307" t="s">
        <v>24</v>
      </c>
      <c r="N307" t="str">
        <f t="shared" si="28"/>
        <v>Old</v>
      </c>
      <c r="O307" t="str">
        <f t="shared" si="29"/>
        <v>Okay Sleep</v>
      </c>
      <c r="P307" t="str">
        <f t="shared" si="30"/>
        <v>Very High</v>
      </c>
      <c r="Q307" t="str">
        <f t="shared" si="31"/>
        <v>High</v>
      </c>
      <c r="R307" t="str">
        <f t="shared" si="32"/>
        <v>HP Stage 2</v>
      </c>
      <c r="S307" t="str">
        <f t="shared" si="33"/>
        <v>Below Average</v>
      </c>
      <c r="T307" t="str">
        <f t="shared" si="34"/>
        <v>Highly Active</v>
      </c>
    </row>
    <row r="308" spans="1:20" x14ac:dyDescent="0.25">
      <c r="A308">
        <v>307</v>
      </c>
      <c r="B308" t="s">
        <v>28</v>
      </c>
      <c r="C308">
        <v>52</v>
      </c>
      <c r="D308" t="s">
        <v>35</v>
      </c>
      <c r="E308">
        <v>6.5</v>
      </c>
      <c r="F308">
        <v>7</v>
      </c>
      <c r="G308">
        <v>45</v>
      </c>
      <c r="H308">
        <v>7</v>
      </c>
      <c r="I308" t="s">
        <v>15</v>
      </c>
      <c r="J308" t="s">
        <v>45</v>
      </c>
      <c r="K308">
        <v>72</v>
      </c>
      <c r="L308">
        <v>6000</v>
      </c>
      <c r="M308" t="s">
        <v>25</v>
      </c>
      <c r="N308" t="str">
        <f t="shared" si="28"/>
        <v>Old</v>
      </c>
      <c r="O308" t="str">
        <f t="shared" si="29"/>
        <v>Good Sleep</v>
      </c>
      <c r="P308" t="str">
        <f t="shared" si="30"/>
        <v>Not Good Enough</v>
      </c>
      <c r="Q308" t="str">
        <f t="shared" si="31"/>
        <v>High</v>
      </c>
      <c r="R308" t="str">
        <f t="shared" si="32"/>
        <v>HP Stage 1</v>
      </c>
      <c r="S308" t="str">
        <f t="shared" si="33"/>
        <v>Average</v>
      </c>
      <c r="T308" t="str">
        <f t="shared" si="34"/>
        <v>Active</v>
      </c>
    </row>
    <row r="309" spans="1:20" x14ac:dyDescent="0.25">
      <c r="A309">
        <v>308</v>
      </c>
      <c r="B309" t="s">
        <v>28</v>
      </c>
      <c r="C309">
        <v>52</v>
      </c>
      <c r="D309" t="s">
        <v>35</v>
      </c>
      <c r="E309">
        <v>6.5</v>
      </c>
      <c r="F309">
        <v>7</v>
      </c>
      <c r="G309">
        <v>45</v>
      </c>
      <c r="H309">
        <v>7</v>
      </c>
      <c r="I309" t="s">
        <v>15</v>
      </c>
      <c r="J309" t="s">
        <v>45</v>
      </c>
      <c r="K309">
        <v>72</v>
      </c>
      <c r="L309">
        <v>6000</v>
      </c>
      <c r="M309" t="s">
        <v>25</v>
      </c>
      <c r="N309" t="str">
        <f t="shared" si="28"/>
        <v>Old</v>
      </c>
      <c r="O309" t="str">
        <f t="shared" si="29"/>
        <v>Good Sleep</v>
      </c>
      <c r="P309" t="str">
        <f t="shared" si="30"/>
        <v>Not Good Enough</v>
      </c>
      <c r="Q309" t="str">
        <f t="shared" si="31"/>
        <v>High</v>
      </c>
      <c r="R309" t="str">
        <f t="shared" si="32"/>
        <v>HP Stage 1</v>
      </c>
      <c r="S309" t="str">
        <f t="shared" si="33"/>
        <v>Average</v>
      </c>
      <c r="T309" t="str">
        <f t="shared" si="34"/>
        <v>Active</v>
      </c>
    </row>
    <row r="310" spans="1:20" x14ac:dyDescent="0.25">
      <c r="A310">
        <v>309</v>
      </c>
      <c r="B310" t="s">
        <v>28</v>
      </c>
      <c r="C310">
        <v>52</v>
      </c>
      <c r="D310" t="s">
        <v>35</v>
      </c>
      <c r="E310">
        <v>6.6</v>
      </c>
      <c r="F310">
        <v>7</v>
      </c>
      <c r="G310">
        <v>45</v>
      </c>
      <c r="H310">
        <v>7</v>
      </c>
      <c r="I310" t="s">
        <v>15</v>
      </c>
      <c r="J310" t="s">
        <v>45</v>
      </c>
      <c r="K310">
        <v>72</v>
      </c>
      <c r="L310">
        <v>6000</v>
      </c>
      <c r="M310" t="s">
        <v>25</v>
      </c>
      <c r="N310" t="str">
        <f t="shared" si="28"/>
        <v>Old</v>
      </c>
      <c r="O310" t="str">
        <f t="shared" si="29"/>
        <v>Good Sleep</v>
      </c>
      <c r="P310" t="str">
        <f t="shared" si="30"/>
        <v>Not Good Enough</v>
      </c>
      <c r="Q310" t="str">
        <f t="shared" si="31"/>
        <v>High</v>
      </c>
      <c r="R310" t="str">
        <f t="shared" si="32"/>
        <v>HP Stage 1</v>
      </c>
      <c r="S310" t="str">
        <f t="shared" si="33"/>
        <v>Average</v>
      </c>
      <c r="T310" t="str">
        <f t="shared" si="34"/>
        <v>Active</v>
      </c>
    </row>
    <row r="311" spans="1:20" x14ac:dyDescent="0.25">
      <c r="A311">
        <v>310</v>
      </c>
      <c r="B311" t="s">
        <v>28</v>
      </c>
      <c r="C311">
        <v>52</v>
      </c>
      <c r="D311" t="s">
        <v>35</v>
      </c>
      <c r="E311">
        <v>6.6</v>
      </c>
      <c r="F311">
        <v>7</v>
      </c>
      <c r="G311">
        <v>45</v>
      </c>
      <c r="H311">
        <v>7</v>
      </c>
      <c r="I311" t="s">
        <v>15</v>
      </c>
      <c r="J311" t="s">
        <v>45</v>
      </c>
      <c r="K311">
        <v>72</v>
      </c>
      <c r="L311">
        <v>6000</v>
      </c>
      <c r="M311" t="s">
        <v>25</v>
      </c>
      <c r="N311" t="str">
        <f t="shared" si="28"/>
        <v>Old</v>
      </c>
      <c r="O311" t="str">
        <f t="shared" si="29"/>
        <v>Good Sleep</v>
      </c>
      <c r="P311" t="str">
        <f t="shared" si="30"/>
        <v>Not Good Enough</v>
      </c>
      <c r="Q311" t="str">
        <f t="shared" si="31"/>
        <v>High</v>
      </c>
      <c r="R311" t="str">
        <f t="shared" si="32"/>
        <v>HP Stage 1</v>
      </c>
      <c r="S311" t="str">
        <f t="shared" si="33"/>
        <v>Average</v>
      </c>
      <c r="T311" t="str">
        <f t="shared" si="34"/>
        <v>Active</v>
      </c>
    </row>
    <row r="312" spans="1:20" x14ac:dyDescent="0.25">
      <c r="A312">
        <v>311</v>
      </c>
      <c r="B312" t="s">
        <v>28</v>
      </c>
      <c r="C312">
        <v>52</v>
      </c>
      <c r="D312" t="s">
        <v>35</v>
      </c>
      <c r="E312">
        <v>6.6</v>
      </c>
      <c r="F312">
        <v>7</v>
      </c>
      <c r="G312">
        <v>45</v>
      </c>
      <c r="H312">
        <v>7</v>
      </c>
      <c r="I312" t="s">
        <v>15</v>
      </c>
      <c r="J312" t="s">
        <v>45</v>
      </c>
      <c r="K312">
        <v>72</v>
      </c>
      <c r="L312">
        <v>6000</v>
      </c>
      <c r="M312" t="s">
        <v>25</v>
      </c>
      <c r="N312" t="str">
        <f t="shared" si="28"/>
        <v>Old</v>
      </c>
      <c r="O312" t="str">
        <f t="shared" si="29"/>
        <v>Good Sleep</v>
      </c>
      <c r="P312" t="str">
        <f t="shared" si="30"/>
        <v>Not Good Enough</v>
      </c>
      <c r="Q312" t="str">
        <f t="shared" si="31"/>
        <v>High</v>
      </c>
      <c r="R312" t="str">
        <f t="shared" si="32"/>
        <v>HP Stage 1</v>
      </c>
      <c r="S312" t="str">
        <f t="shared" si="33"/>
        <v>Average</v>
      </c>
      <c r="T312" t="str">
        <f t="shared" si="34"/>
        <v>Active</v>
      </c>
    </row>
    <row r="313" spans="1:20" x14ac:dyDescent="0.25">
      <c r="A313">
        <v>312</v>
      </c>
      <c r="B313" t="s">
        <v>28</v>
      </c>
      <c r="C313">
        <v>52</v>
      </c>
      <c r="D313" t="s">
        <v>35</v>
      </c>
      <c r="E313">
        <v>6.6</v>
      </c>
      <c r="F313">
        <v>7</v>
      </c>
      <c r="G313">
        <v>45</v>
      </c>
      <c r="H313">
        <v>7</v>
      </c>
      <c r="I313" t="s">
        <v>15</v>
      </c>
      <c r="J313" t="s">
        <v>45</v>
      </c>
      <c r="K313">
        <v>72</v>
      </c>
      <c r="L313">
        <v>6000</v>
      </c>
      <c r="M313" t="s">
        <v>25</v>
      </c>
      <c r="N313" t="str">
        <f t="shared" si="28"/>
        <v>Old</v>
      </c>
      <c r="O313" t="str">
        <f t="shared" si="29"/>
        <v>Good Sleep</v>
      </c>
      <c r="P313" t="str">
        <f t="shared" si="30"/>
        <v>Not Good Enough</v>
      </c>
      <c r="Q313" t="str">
        <f t="shared" si="31"/>
        <v>High</v>
      </c>
      <c r="R313" t="str">
        <f t="shared" si="32"/>
        <v>HP Stage 1</v>
      </c>
      <c r="S313" t="str">
        <f t="shared" si="33"/>
        <v>Average</v>
      </c>
      <c r="T313" t="str">
        <f t="shared" si="34"/>
        <v>Active</v>
      </c>
    </row>
    <row r="314" spans="1:20" x14ac:dyDescent="0.25">
      <c r="A314">
        <v>313</v>
      </c>
      <c r="B314" t="s">
        <v>28</v>
      </c>
      <c r="C314">
        <v>52</v>
      </c>
      <c r="D314" t="s">
        <v>34</v>
      </c>
      <c r="E314">
        <v>8.4</v>
      </c>
      <c r="F314">
        <v>9</v>
      </c>
      <c r="G314">
        <v>30</v>
      </c>
      <c r="H314">
        <v>3</v>
      </c>
      <c r="I314" t="s">
        <v>19</v>
      </c>
      <c r="J314" t="s">
        <v>20</v>
      </c>
      <c r="K314">
        <v>65</v>
      </c>
      <c r="L314">
        <v>5000</v>
      </c>
      <c r="M314" t="s">
        <v>17</v>
      </c>
      <c r="N314" t="str">
        <f t="shared" si="28"/>
        <v>Old</v>
      </c>
      <c r="O314" t="str">
        <f t="shared" si="29"/>
        <v>Well Rested</v>
      </c>
      <c r="P314" t="str">
        <f t="shared" si="30"/>
        <v>Low</v>
      </c>
      <c r="Q314" t="str">
        <f t="shared" si="31"/>
        <v>Low</v>
      </c>
      <c r="R314" t="str">
        <f t="shared" si="32"/>
        <v>Elevated</v>
      </c>
      <c r="S314" t="str">
        <f t="shared" si="33"/>
        <v>Good</v>
      </c>
      <c r="T314" t="str">
        <f t="shared" si="34"/>
        <v>Low Active</v>
      </c>
    </row>
    <row r="315" spans="1:20" x14ac:dyDescent="0.25">
      <c r="A315">
        <v>314</v>
      </c>
      <c r="B315" t="s">
        <v>28</v>
      </c>
      <c r="C315">
        <v>52</v>
      </c>
      <c r="D315" t="s">
        <v>34</v>
      </c>
      <c r="E315">
        <v>8.4</v>
      </c>
      <c r="F315">
        <v>9</v>
      </c>
      <c r="G315">
        <v>30</v>
      </c>
      <c r="H315">
        <v>3</v>
      </c>
      <c r="I315" t="s">
        <v>19</v>
      </c>
      <c r="J315" t="s">
        <v>20</v>
      </c>
      <c r="K315">
        <v>65</v>
      </c>
      <c r="L315">
        <v>5000</v>
      </c>
      <c r="M315" t="s">
        <v>17</v>
      </c>
      <c r="N315" t="str">
        <f t="shared" si="28"/>
        <v>Old</v>
      </c>
      <c r="O315" t="str">
        <f t="shared" si="29"/>
        <v>Well Rested</v>
      </c>
      <c r="P315" t="str">
        <f t="shared" si="30"/>
        <v>Low</v>
      </c>
      <c r="Q315" t="str">
        <f t="shared" si="31"/>
        <v>Low</v>
      </c>
      <c r="R315" t="str">
        <f t="shared" si="32"/>
        <v>Elevated</v>
      </c>
      <c r="S315" t="str">
        <f t="shared" si="33"/>
        <v>Good</v>
      </c>
      <c r="T315" t="str">
        <f t="shared" si="34"/>
        <v>Low Active</v>
      </c>
    </row>
    <row r="316" spans="1:20" x14ac:dyDescent="0.25">
      <c r="A316">
        <v>315</v>
      </c>
      <c r="B316" t="s">
        <v>28</v>
      </c>
      <c r="C316">
        <v>52</v>
      </c>
      <c r="D316" t="s">
        <v>34</v>
      </c>
      <c r="E316">
        <v>8.4</v>
      </c>
      <c r="F316">
        <v>9</v>
      </c>
      <c r="G316">
        <v>30</v>
      </c>
      <c r="H316">
        <v>3</v>
      </c>
      <c r="I316" t="s">
        <v>19</v>
      </c>
      <c r="J316" t="s">
        <v>20</v>
      </c>
      <c r="K316">
        <v>65</v>
      </c>
      <c r="L316">
        <v>5000</v>
      </c>
      <c r="M316" t="s">
        <v>17</v>
      </c>
      <c r="N316" t="str">
        <f t="shared" si="28"/>
        <v>Old</v>
      </c>
      <c r="O316" t="str">
        <f t="shared" si="29"/>
        <v>Well Rested</v>
      </c>
      <c r="P316" t="str">
        <f t="shared" si="30"/>
        <v>Low</v>
      </c>
      <c r="Q316" t="str">
        <f t="shared" si="31"/>
        <v>Low</v>
      </c>
      <c r="R316" t="str">
        <f t="shared" si="32"/>
        <v>Elevated</v>
      </c>
      <c r="S316" t="str">
        <f t="shared" si="33"/>
        <v>Good</v>
      </c>
      <c r="T316" t="str">
        <f t="shared" si="34"/>
        <v>Low Active</v>
      </c>
    </row>
    <row r="317" spans="1:20" x14ac:dyDescent="0.25">
      <c r="A317">
        <v>316</v>
      </c>
      <c r="B317" t="s">
        <v>28</v>
      </c>
      <c r="C317">
        <v>53</v>
      </c>
      <c r="D317" t="s">
        <v>34</v>
      </c>
      <c r="E317">
        <v>8.3000000000000007</v>
      </c>
      <c r="F317">
        <v>9</v>
      </c>
      <c r="G317">
        <v>30</v>
      </c>
      <c r="H317">
        <v>3</v>
      </c>
      <c r="I317" t="s">
        <v>19</v>
      </c>
      <c r="J317" t="s">
        <v>20</v>
      </c>
      <c r="K317">
        <v>65</v>
      </c>
      <c r="L317">
        <v>5000</v>
      </c>
      <c r="M317" t="s">
        <v>25</v>
      </c>
      <c r="N317" t="str">
        <f t="shared" si="28"/>
        <v>Old</v>
      </c>
      <c r="O317" t="str">
        <f t="shared" si="29"/>
        <v>Well Rested</v>
      </c>
      <c r="P317" t="str">
        <f t="shared" si="30"/>
        <v>Low</v>
      </c>
      <c r="Q317" t="str">
        <f t="shared" si="31"/>
        <v>Low</v>
      </c>
      <c r="R317" t="str">
        <f t="shared" si="32"/>
        <v>Elevated</v>
      </c>
      <c r="S317" t="str">
        <f t="shared" si="33"/>
        <v>Good</v>
      </c>
      <c r="T317" t="str">
        <f t="shared" si="34"/>
        <v>Low Active</v>
      </c>
    </row>
    <row r="318" spans="1:20" x14ac:dyDescent="0.25">
      <c r="A318">
        <v>317</v>
      </c>
      <c r="B318" t="s">
        <v>28</v>
      </c>
      <c r="C318">
        <v>53</v>
      </c>
      <c r="D318" t="s">
        <v>34</v>
      </c>
      <c r="E318">
        <v>8.5</v>
      </c>
      <c r="F318">
        <v>9</v>
      </c>
      <c r="G318">
        <v>30</v>
      </c>
      <c r="H318">
        <v>3</v>
      </c>
      <c r="I318" t="s">
        <v>19</v>
      </c>
      <c r="J318" t="s">
        <v>20</v>
      </c>
      <c r="K318">
        <v>65</v>
      </c>
      <c r="L318">
        <v>5000</v>
      </c>
      <c r="M318" t="s">
        <v>17</v>
      </c>
      <c r="N318" t="str">
        <f t="shared" si="28"/>
        <v>Old</v>
      </c>
      <c r="O318" t="str">
        <f t="shared" si="29"/>
        <v>Well Rested</v>
      </c>
      <c r="P318" t="str">
        <f t="shared" si="30"/>
        <v>Low</v>
      </c>
      <c r="Q318" t="str">
        <f t="shared" si="31"/>
        <v>Low</v>
      </c>
      <c r="R318" t="str">
        <f t="shared" si="32"/>
        <v>Elevated</v>
      </c>
      <c r="S318" t="str">
        <f t="shared" si="33"/>
        <v>Good</v>
      </c>
      <c r="T318" t="str">
        <f t="shared" si="34"/>
        <v>Low Active</v>
      </c>
    </row>
    <row r="319" spans="1:20" x14ac:dyDescent="0.25">
      <c r="A319">
        <v>318</v>
      </c>
      <c r="B319" t="s">
        <v>28</v>
      </c>
      <c r="C319">
        <v>53</v>
      </c>
      <c r="D319" t="s">
        <v>34</v>
      </c>
      <c r="E319">
        <v>8.5</v>
      </c>
      <c r="F319">
        <v>9</v>
      </c>
      <c r="G319">
        <v>30</v>
      </c>
      <c r="H319">
        <v>3</v>
      </c>
      <c r="I319" t="s">
        <v>19</v>
      </c>
      <c r="J319" t="s">
        <v>20</v>
      </c>
      <c r="K319">
        <v>65</v>
      </c>
      <c r="L319">
        <v>5000</v>
      </c>
      <c r="M319" t="s">
        <v>17</v>
      </c>
      <c r="N319" t="str">
        <f t="shared" si="28"/>
        <v>Old</v>
      </c>
      <c r="O319" t="str">
        <f t="shared" si="29"/>
        <v>Well Rested</v>
      </c>
      <c r="P319" t="str">
        <f t="shared" si="30"/>
        <v>Low</v>
      </c>
      <c r="Q319" t="str">
        <f t="shared" si="31"/>
        <v>Low</v>
      </c>
      <c r="R319" t="str">
        <f t="shared" si="32"/>
        <v>Elevated</v>
      </c>
      <c r="S319" t="str">
        <f t="shared" si="33"/>
        <v>Good</v>
      </c>
      <c r="T319" t="str">
        <f t="shared" si="34"/>
        <v>Low Active</v>
      </c>
    </row>
    <row r="320" spans="1:20" x14ac:dyDescent="0.25">
      <c r="A320">
        <v>319</v>
      </c>
      <c r="B320" t="s">
        <v>28</v>
      </c>
      <c r="C320">
        <v>53</v>
      </c>
      <c r="D320" t="s">
        <v>34</v>
      </c>
      <c r="E320">
        <v>8.4</v>
      </c>
      <c r="F320">
        <v>9</v>
      </c>
      <c r="G320">
        <v>30</v>
      </c>
      <c r="H320">
        <v>3</v>
      </c>
      <c r="I320" t="s">
        <v>19</v>
      </c>
      <c r="J320" t="s">
        <v>20</v>
      </c>
      <c r="K320">
        <v>65</v>
      </c>
      <c r="L320">
        <v>5000</v>
      </c>
      <c r="M320" t="s">
        <v>17</v>
      </c>
      <c r="N320" t="str">
        <f t="shared" si="28"/>
        <v>Old</v>
      </c>
      <c r="O320" t="str">
        <f t="shared" si="29"/>
        <v>Well Rested</v>
      </c>
      <c r="P320" t="str">
        <f t="shared" si="30"/>
        <v>Low</v>
      </c>
      <c r="Q320" t="str">
        <f t="shared" si="31"/>
        <v>Low</v>
      </c>
      <c r="R320" t="str">
        <f t="shared" si="32"/>
        <v>Elevated</v>
      </c>
      <c r="S320" t="str">
        <f t="shared" si="33"/>
        <v>Good</v>
      </c>
      <c r="T320" t="str">
        <f t="shared" si="34"/>
        <v>Low Active</v>
      </c>
    </row>
    <row r="321" spans="1:20" x14ac:dyDescent="0.25">
      <c r="A321">
        <v>320</v>
      </c>
      <c r="B321" t="s">
        <v>28</v>
      </c>
      <c r="C321">
        <v>53</v>
      </c>
      <c r="D321" t="s">
        <v>34</v>
      </c>
      <c r="E321">
        <v>8.4</v>
      </c>
      <c r="F321">
        <v>9</v>
      </c>
      <c r="G321">
        <v>30</v>
      </c>
      <c r="H321">
        <v>3</v>
      </c>
      <c r="I321" t="s">
        <v>19</v>
      </c>
      <c r="J321" t="s">
        <v>20</v>
      </c>
      <c r="K321">
        <v>65</v>
      </c>
      <c r="L321">
        <v>5000</v>
      </c>
      <c r="M321" t="s">
        <v>17</v>
      </c>
      <c r="N321" t="str">
        <f t="shared" si="28"/>
        <v>Old</v>
      </c>
      <c r="O321" t="str">
        <f t="shared" si="29"/>
        <v>Well Rested</v>
      </c>
      <c r="P321" t="str">
        <f t="shared" si="30"/>
        <v>Low</v>
      </c>
      <c r="Q321" t="str">
        <f t="shared" si="31"/>
        <v>Low</v>
      </c>
      <c r="R321" t="str">
        <f t="shared" si="32"/>
        <v>Elevated</v>
      </c>
      <c r="S321" t="str">
        <f t="shared" si="33"/>
        <v>Good</v>
      </c>
      <c r="T321" t="str">
        <f t="shared" si="34"/>
        <v>Low Active</v>
      </c>
    </row>
    <row r="322" spans="1:20" x14ac:dyDescent="0.25">
      <c r="A322">
        <v>321</v>
      </c>
      <c r="B322" t="s">
        <v>28</v>
      </c>
      <c r="C322">
        <v>53</v>
      </c>
      <c r="D322" t="s">
        <v>34</v>
      </c>
      <c r="E322">
        <v>8.5</v>
      </c>
      <c r="F322">
        <v>9</v>
      </c>
      <c r="G322">
        <v>30</v>
      </c>
      <c r="H322">
        <v>3</v>
      </c>
      <c r="I322" t="s">
        <v>19</v>
      </c>
      <c r="J322" t="s">
        <v>20</v>
      </c>
      <c r="K322">
        <v>65</v>
      </c>
      <c r="L322">
        <v>5000</v>
      </c>
      <c r="M322" t="s">
        <v>17</v>
      </c>
      <c r="N322" t="str">
        <f t="shared" si="28"/>
        <v>Old</v>
      </c>
      <c r="O322" t="str">
        <f t="shared" si="29"/>
        <v>Well Rested</v>
      </c>
      <c r="P322" t="str">
        <f t="shared" si="30"/>
        <v>Low</v>
      </c>
      <c r="Q322" t="str">
        <f t="shared" si="31"/>
        <v>Low</v>
      </c>
      <c r="R322" t="str">
        <f t="shared" si="32"/>
        <v>Elevated</v>
      </c>
      <c r="S322" t="str">
        <f t="shared" si="33"/>
        <v>Good</v>
      </c>
      <c r="T322" t="str">
        <f t="shared" si="34"/>
        <v>Low Active</v>
      </c>
    </row>
    <row r="323" spans="1:20" x14ac:dyDescent="0.25">
      <c r="A323">
        <v>322</v>
      </c>
      <c r="B323" t="s">
        <v>28</v>
      </c>
      <c r="C323">
        <v>53</v>
      </c>
      <c r="D323" t="s">
        <v>34</v>
      </c>
      <c r="E323">
        <v>8.4</v>
      </c>
      <c r="F323">
        <v>9</v>
      </c>
      <c r="G323">
        <v>30</v>
      </c>
      <c r="H323">
        <v>3</v>
      </c>
      <c r="I323" t="s">
        <v>19</v>
      </c>
      <c r="J323" t="s">
        <v>20</v>
      </c>
      <c r="K323">
        <v>65</v>
      </c>
      <c r="L323">
        <v>5000</v>
      </c>
      <c r="M323" t="s">
        <v>17</v>
      </c>
      <c r="N323" t="str">
        <f t="shared" ref="N323:N375" si="35">_xlfn.IFS(C323&gt;=50, "Old", C323&gt;=35, "Adult",C323&gt;=27, "Young Adult")</f>
        <v>Old</v>
      </c>
      <c r="O323" t="str">
        <f t="shared" ref="O323:O375" si="36">_xlfn.IFS(F323&gt;=8, "Well Rested", F323&gt;=7, "Good Sleep", F323&gt;=6, "Okay Sleep",F323&lt;6, "Need more sleep")</f>
        <v>Well Rested</v>
      </c>
      <c r="P323" t="str">
        <f t="shared" ref="P323:P375" si="37">_xlfn.IFS(G323&gt;=80, "Very High", G323&gt;=65, "High",G323&gt;=50, "Moderate", G323&gt;=40, "Not Good Enough", G323&lt;40,"Low")</f>
        <v>Low</v>
      </c>
      <c r="Q323" t="str">
        <f t="shared" ref="Q323:Q375" si="38">_xlfn.IFS(H323&gt;=7, "High", H323&gt;=5, "Mid", H323&lt;5, "Low")</f>
        <v>Low</v>
      </c>
      <c r="R323" t="str">
        <f t="shared" ref="R323:R375" si="39">_xlfn.IFS(J323&gt;="140/90", "HP Stage 2", J323&gt;="130/85","HP Stage 1",J323&gt;="120/80","Elevated",J323&lt;"120/80","Normal")</f>
        <v>Elevated</v>
      </c>
      <c r="S323" t="str">
        <f t="shared" ref="S323:S375" si="40">_xlfn.IFS(K323&gt;=80, "Poor", K323&gt;=75, "Below Average", K323&gt;=70, "Average",K323&lt;70,"Good")</f>
        <v>Good</v>
      </c>
      <c r="T323" t="str">
        <f t="shared" ref="T323:T375" si="41">_xlfn.IFS(L323&gt;=8000,"Highly Active", L323&gt;=6000, "Active", L323&gt;=4000, "Low Active",L323&lt;4000, "Sedentary")</f>
        <v>Low Active</v>
      </c>
    </row>
    <row r="324" spans="1:20" x14ac:dyDescent="0.25">
      <c r="A324">
        <v>323</v>
      </c>
      <c r="B324" t="s">
        <v>28</v>
      </c>
      <c r="C324">
        <v>53</v>
      </c>
      <c r="D324" t="s">
        <v>34</v>
      </c>
      <c r="E324">
        <v>8.4</v>
      </c>
      <c r="F324">
        <v>9</v>
      </c>
      <c r="G324">
        <v>30</v>
      </c>
      <c r="H324">
        <v>3</v>
      </c>
      <c r="I324" t="s">
        <v>19</v>
      </c>
      <c r="J324" t="s">
        <v>20</v>
      </c>
      <c r="K324">
        <v>65</v>
      </c>
      <c r="L324">
        <v>5000</v>
      </c>
      <c r="M324" t="s">
        <v>17</v>
      </c>
      <c r="N324" t="str">
        <f t="shared" si="35"/>
        <v>Old</v>
      </c>
      <c r="O324" t="str">
        <f t="shared" si="36"/>
        <v>Well Rested</v>
      </c>
      <c r="P324" t="str">
        <f t="shared" si="37"/>
        <v>Low</v>
      </c>
      <c r="Q324" t="str">
        <f t="shared" si="38"/>
        <v>Low</v>
      </c>
      <c r="R324" t="str">
        <f t="shared" si="39"/>
        <v>Elevated</v>
      </c>
      <c r="S324" t="str">
        <f t="shared" si="40"/>
        <v>Good</v>
      </c>
      <c r="T324" t="str">
        <f t="shared" si="41"/>
        <v>Low Active</v>
      </c>
    </row>
    <row r="325" spans="1:20" x14ac:dyDescent="0.25">
      <c r="A325">
        <v>324</v>
      </c>
      <c r="B325" t="s">
        <v>28</v>
      </c>
      <c r="C325">
        <v>53</v>
      </c>
      <c r="D325" t="s">
        <v>34</v>
      </c>
      <c r="E325">
        <v>8.5</v>
      </c>
      <c r="F325">
        <v>9</v>
      </c>
      <c r="G325">
        <v>30</v>
      </c>
      <c r="H325">
        <v>3</v>
      </c>
      <c r="I325" t="s">
        <v>19</v>
      </c>
      <c r="J325" t="s">
        <v>20</v>
      </c>
      <c r="K325">
        <v>65</v>
      </c>
      <c r="L325">
        <v>5000</v>
      </c>
      <c r="M325" t="s">
        <v>17</v>
      </c>
      <c r="N325" t="str">
        <f t="shared" si="35"/>
        <v>Old</v>
      </c>
      <c r="O325" t="str">
        <f t="shared" si="36"/>
        <v>Well Rested</v>
      </c>
      <c r="P325" t="str">
        <f t="shared" si="37"/>
        <v>Low</v>
      </c>
      <c r="Q325" t="str">
        <f t="shared" si="38"/>
        <v>Low</v>
      </c>
      <c r="R325" t="str">
        <f t="shared" si="39"/>
        <v>Elevated</v>
      </c>
      <c r="S325" t="str">
        <f t="shared" si="40"/>
        <v>Good</v>
      </c>
      <c r="T325" t="str">
        <f t="shared" si="41"/>
        <v>Low Active</v>
      </c>
    </row>
    <row r="326" spans="1:20" x14ac:dyDescent="0.25">
      <c r="A326">
        <v>325</v>
      </c>
      <c r="B326" t="s">
        <v>28</v>
      </c>
      <c r="C326">
        <v>53</v>
      </c>
      <c r="D326" t="s">
        <v>34</v>
      </c>
      <c r="E326">
        <v>8.3000000000000007</v>
      </c>
      <c r="F326">
        <v>9</v>
      </c>
      <c r="G326">
        <v>30</v>
      </c>
      <c r="H326">
        <v>3</v>
      </c>
      <c r="I326" t="s">
        <v>19</v>
      </c>
      <c r="J326" t="s">
        <v>20</v>
      </c>
      <c r="K326">
        <v>65</v>
      </c>
      <c r="L326">
        <v>5000</v>
      </c>
      <c r="M326" t="s">
        <v>17</v>
      </c>
      <c r="N326" t="str">
        <f t="shared" si="35"/>
        <v>Old</v>
      </c>
      <c r="O326" t="str">
        <f t="shared" si="36"/>
        <v>Well Rested</v>
      </c>
      <c r="P326" t="str">
        <f t="shared" si="37"/>
        <v>Low</v>
      </c>
      <c r="Q326" t="str">
        <f t="shared" si="38"/>
        <v>Low</v>
      </c>
      <c r="R326" t="str">
        <f t="shared" si="39"/>
        <v>Elevated</v>
      </c>
      <c r="S326" t="str">
        <f t="shared" si="40"/>
        <v>Good</v>
      </c>
      <c r="T326" t="str">
        <f t="shared" si="41"/>
        <v>Low Active</v>
      </c>
    </row>
    <row r="327" spans="1:20" x14ac:dyDescent="0.25">
      <c r="A327">
        <v>326</v>
      </c>
      <c r="B327" t="s">
        <v>28</v>
      </c>
      <c r="C327">
        <v>53</v>
      </c>
      <c r="D327" t="s">
        <v>34</v>
      </c>
      <c r="E327">
        <v>8.5</v>
      </c>
      <c r="F327">
        <v>9</v>
      </c>
      <c r="G327">
        <v>30</v>
      </c>
      <c r="H327">
        <v>3</v>
      </c>
      <c r="I327" t="s">
        <v>19</v>
      </c>
      <c r="J327" t="s">
        <v>20</v>
      </c>
      <c r="K327">
        <v>65</v>
      </c>
      <c r="L327">
        <v>5000</v>
      </c>
      <c r="M327" t="s">
        <v>17</v>
      </c>
      <c r="N327" t="str">
        <f t="shared" si="35"/>
        <v>Old</v>
      </c>
      <c r="O327" t="str">
        <f t="shared" si="36"/>
        <v>Well Rested</v>
      </c>
      <c r="P327" t="str">
        <f t="shared" si="37"/>
        <v>Low</v>
      </c>
      <c r="Q327" t="str">
        <f t="shared" si="38"/>
        <v>Low</v>
      </c>
      <c r="R327" t="str">
        <f t="shared" si="39"/>
        <v>Elevated</v>
      </c>
      <c r="S327" t="str">
        <f t="shared" si="40"/>
        <v>Good</v>
      </c>
      <c r="T327" t="str">
        <f t="shared" si="41"/>
        <v>Low Active</v>
      </c>
    </row>
    <row r="328" spans="1:20" x14ac:dyDescent="0.25">
      <c r="A328">
        <v>327</v>
      </c>
      <c r="B328" t="s">
        <v>28</v>
      </c>
      <c r="C328">
        <v>53</v>
      </c>
      <c r="D328" t="s">
        <v>34</v>
      </c>
      <c r="E328">
        <v>8.3000000000000007</v>
      </c>
      <c r="F328">
        <v>9</v>
      </c>
      <c r="G328">
        <v>30</v>
      </c>
      <c r="H328">
        <v>3</v>
      </c>
      <c r="I328" t="s">
        <v>19</v>
      </c>
      <c r="J328" t="s">
        <v>20</v>
      </c>
      <c r="K328">
        <v>65</v>
      </c>
      <c r="L328">
        <v>5000</v>
      </c>
      <c r="M328" t="s">
        <v>17</v>
      </c>
      <c r="N328" t="str">
        <f t="shared" si="35"/>
        <v>Old</v>
      </c>
      <c r="O328" t="str">
        <f t="shared" si="36"/>
        <v>Well Rested</v>
      </c>
      <c r="P328" t="str">
        <f t="shared" si="37"/>
        <v>Low</v>
      </c>
      <c r="Q328" t="str">
        <f t="shared" si="38"/>
        <v>Low</v>
      </c>
      <c r="R328" t="str">
        <f t="shared" si="39"/>
        <v>Elevated</v>
      </c>
      <c r="S328" t="str">
        <f t="shared" si="40"/>
        <v>Good</v>
      </c>
      <c r="T328" t="str">
        <f t="shared" si="41"/>
        <v>Low Active</v>
      </c>
    </row>
    <row r="329" spans="1:20" x14ac:dyDescent="0.25">
      <c r="A329">
        <v>328</v>
      </c>
      <c r="B329" t="s">
        <v>28</v>
      </c>
      <c r="C329">
        <v>53</v>
      </c>
      <c r="D329" t="s">
        <v>34</v>
      </c>
      <c r="E329">
        <v>8.5</v>
      </c>
      <c r="F329">
        <v>9</v>
      </c>
      <c r="G329">
        <v>30</v>
      </c>
      <c r="H329">
        <v>3</v>
      </c>
      <c r="I329" t="s">
        <v>19</v>
      </c>
      <c r="J329" t="s">
        <v>20</v>
      </c>
      <c r="K329">
        <v>65</v>
      </c>
      <c r="L329">
        <v>5000</v>
      </c>
      <c r="M329" t="s">
        <v>17</v>
      </c>
      <c r="N329" t="str">
        <f t="shared" si="35"/>
        <v>Old</v>
      </c>
      <c r="O329" t="str">
        <f t="shared" si="36"/>
        <v>Well Rested</v>
      </c>
      <c r="P329" t="str">
        <f t="shared" si="37"/>
        <v>Low</v>
      </c>
      <c r="Q329" t="str">
        <f t="shared" si="38"/>
        <v>Low</v>
      </c>
      <c r="R329" t="str">
        <f t="shared" si="39"/>
        <v>Elevated</v>
      </c>
      <c r="S329" t="str">
        <f t="shared" si="40"/>
        <v>Good</v>
      </c>
      <c r="T329" t="str">
        <f t="shared" si="41"/>
        <v>Low Active</v>
      </c>
    </row>
    <row r="330" spans="1:20" x14ac:dyDescent="0.25">
      <c r="A330">
        <v>329</v>
      </c>
      <c r="B330" t="s">
        <v>28</v>
      </c>
      <c r="C330">
        <v>53</v>
      </c>
      <c r="D330" t="s">
        <v>34</v>
      </c>
      <c r="E330">
        <v>8.3000000000000007</v>
      </c>
      <c r="F330">
        <v>9</v>
      </c>
      <c r="G330">
        <v>30</v>
      </c>
      <c r="H330">
        <v>3</v>
      </c>
      <c r="I330" t="s">
        <v>19</v>
      </c>
      <c r="J330" t="s">
        <v>20</v>
      </c>
      <c r="K330">
        <v>65</v>
      </c>
      <c r="L330">
        <v>5000</v>
      </c>
      <c r="M330" t="s">
        <v>17</v>
      </c>
      <c r="N330" t="str">
        <f t="shared" si="35"/>
        <v>Old</v>
      </c>
      <c r="O330" t="str">
        <f t="shared" si="36"/>
        <v>Well Rested</v>
      </c>
      <c r="P330" t="str">
        <f t="shared" si="37"/>
        <v>Low</v>
      </c>
      <c r="Q330" t="str">
        <f t="shared" si="38"/>
        <v>Low</v>
      </c>
      <c r="R330" t="str">
        <f t="shared" si="39"/>
        <v>Elevated</v>
      </c>
      <c r="S330" t="str">
        <f t="shared" si="40"/>
        <v>Good</v>
      </c>
      <c r="T330" t="str">
        <f t="shared" si="41"/>
        <v>Low Active</v>
      </c>
    </row>
    <row r="331" spans="1:20" x14ac:dyDescent="0.25">
      <c r="A331">
        <v>330</v>
      </c>
      <c r="B331" t="s">
        <v>28</v>
      </c>
      <c r="C331">
        <v>53</v>
      </c>
      <c r="D331" t="s">
        <v>34</v>
      </c>
      <c r="E331">
        <v>8.5</v>
      </c>
      <c r="F331">
        <v>9</v>
      </c>
      <c r="G331">
        <v>30</v>
      </c>
      <c r="H331">
        <v>3</v>
      </c>
      <c r="I331" t="s">
        <v>19</v>
      </c>
      <c r="J331" t="s">
        <v>20</v>
      </c>
      <c r="K331">
        <v>65</v>
      </c>
      <c r="L331">
        <v>5000</v>
      </c>
      <c r="M331" t="s">
        <v>17</v>
      </c>
      <c r="N331" t="str">
        <f t="shared" si="35"/>
        <v>Old</v>
      </c>
      <c r="O331" t="str">
        <f t="shared" si="36"/>
        <v>Well Rested</v>
      </c>
      <c r="P331" t="str">
        <f t="shared" si="37"/>
        <v>Low</v>
      </c>
      <c r="Q331" t="str">
        <f t="shared" si="38"/>
        <v>Low</v>
      </c>
      <c r="R331" t="str">
        <f t="shared" si="39"/>
        <v>Elevated</v>
      </c>
      <c r="S331" t="str">
        <f t="shared" si="40"/>
        <v>Good</v>
      </c>
      <c r="T331" t="str">
        <f t="shared" si="41"/>
        <v>Low Active</v>
      </c>
    </row>
    <row r="332" spans="1:20" x14ac:dyDescent="0.25">
      <c r="A332">
        <v>331</v>
      </c>
      <c r="B332" t="s">
        <v>28</v>
      </c>
      <c r="C332">
        <v>53</v>
      </c>
      <c r="D332" t="s">
        <v>34</v>
      </c>
      <c r="E332">
        <v>8.5</v>
      </c>
      <c r="F332">
        <v>9</v>
      </c>
      <c r="G332">
        <v>30</v>
      </c>
      <c r="H332">
        <v>3</v>
      </c>
      <c r="I332" t="s">
        <v>19</v>
      </c>
      <c r="J332" t="s">
        <v>20</v>
      </c>
      <c r="K332">
        <v>65</v>
      </c>
      <c r="L332">
        <v>5000</v>
      </c>
      <c r="M332" t="s">
        <v>17</v>
      </c>
      <c r="N332" t="str">
        <f t="shared" si="35"/>
        <v>Old</v>
      </c>
      <c r="O332" t="str">
        <f t="shared" si="36"/>
        <v>Well Rested</v>
      </c>
      <c r="P332" t="str">
        <f t="shared" si="37"/>
        <v>Low</v>
      </c>
      <c r="Q332" t="str">
        <f t="shared" si="38"/>
        <v>Low</v>
      </c>
      <c r="R332" t="str">
        <f t="shared" si="39"/>
        <v>Elevated</v>
      </c>
      <c r="S332" t="str">
        <f t="shared" si="40"/>
        <v>Good</v>
      </c>
      <c r="T332" t="str">
        <f t="shared" si="41"/>
        <v>Low Active</v>
      </c>
    </row>
    <row r="333" spans="1:20" x14ac:dyDescent="0.25">
      <c r="A333">
        <v>332</v>
      </c>
      <c r="B333" t="s">
        <v>28</v>
      </c>
      <c r="C333">
        <v>53</v>
      </c>
      <c r="D333" t="s">
        <v>34</v>
      </c>
      <c r="E333">
        <v>8.4</v>
      </c>
      <c r="F333">
        <v>9</v>
      </c>
      <c r="G333">
        <v>30</v>
      </c>
      <c r="H333">
        <v>3</v>
      </c>
      <c r="I333" t="s">
        <v>19</v>
      </c>
      <c r="J333" t="s">
        <v>20</v>
      </c>
      <c r="K333">
        <v>65</v>
      </c>
      <c r="L333">
        <v>5000</v>
      </c>
      <c r="M333" t="s">
        <v>17</v>
      </c>
      <c r="N333" t="str">
        <f t="shared" si="35"/>
        <v>Old</v>
      </c>
      <c r="O333" t="str">
        <f t="shared" si="36"/>
        <v>Well Rested</v>
      </c>
      <c r="P333" t="str">
        <f t="shared" si="37"/>
        <v>Low</v>
      </c>
      <c r="Q333" t="str">
        <f t="shared" si="38"/>
        <v>Low</v>
      </c>
      <c r="R333" t="str">
        <f t="shared" si="39"/>
        <v>Elevated</v>
      </c>
      <c r="S333" t="str">
        <f t="shared" si="40"/>
        <v>Good</v>
      </c>
      <c r="T333" t="str">
        <f t="shared" si="41"/>
        <v>Low Active</v>
      </c>
    </row>
    <row r="334" spans="1:20" x14ac:dyDescent="0.25">
      <c r="A334">
        <v>333</v>
      </c>
      <c r="B334" t="s">
        <v>28</v>
      </c>
      <c r="C334">
        <v>54</v>
      </c>
      <c r="D334" t="s">
        <v>34</v>
      </c>
      <c r="E334">
        <v>8.4</v>
      </c>
      <c r="F334">
        <v>9</v>
      </c>
      <c r="G334">
        <v>30</v>
      </c>
      <c r="H334">
        <v>3</v>
      </c>
      <c r="I334" t="s">
        <v>19</v>
      </c>
      <c r="J334" t="s">
        <v>20</v>
      </c>
      <c r="K334">
        <v>65</v>
      </c>
      <c r="L334">
        <v>5000</v>
      </c>
      <c r="M334" t="s">
        <v>17</v>
      </c>
      <c r="N334" t="str">
        <f t="shared" si="35"/>
        <v>Old</v>
      </c>
      <c r="O334" t="str">
        <f t="shared" si="36"/>
        <v>Well Rested</v>
      </c>
      <c r="P334" t="str">
        <f t="shared" si="37"/>
        <v>Low</v>
      </c>
      <c r="Q334" t="str">
        <f t="shared" si="38"/>
        <v>Low</v>
      </c>
      <c r="R334" t="str">
        <f t="shared" si="39"/>
        <v>Elevated</v>
      </c>
      <c r="S334" t="str">
        <f t="shared" si="40"/>
        <v>Good</v>
      </c>
      <c r="T334" t="str">
        <f t="shared" si="41"/>
        <v>Low Active</v>
      </c>
    </row>
    <row r="335" spans="1:20" x14ac:dyDescent="0.25">
      <c r="A335">
        <v>334</v>
      </c>
      <c r="B335" t="s">
        <v>28</v>
      </c>
      <c r="C335">
        <v>54</v>
      </c>
      <c r="D335" t="s">
        <v>34</v>
      </c>
      <c r="E335">
        <v>8.4</v>
      </c>
      <c r="F335">
        <v>9</v>
      </c>
      <c r="G335">
        <v>30</v>
      </c>
      <c r="H335">
        <v>3</v>
      </c>
      <c r="I335" t="s">
        <v>19</v>
      </c>
      <c r="J335" t="s">
        <v>20</v>
      </c>
      <c r="K335">
        <v>65</v>
      </c>
      <c r="L335">
        <v>5000</v>
      </c>
      <c r="M335" t="s">
        <v>17</v>
      </c>
      <c r="N335" t="str">
        <f t="shared" si="35"/>
        <v>Old</v>
      </c>
      <c r="O335" t="str">
        <f t="shared" si="36"/>
        <v>Well Rested</v>
      </c>
      <c r="P335" t="str">
        <f t="shared" si="37"/>
        <v>Low</v>
      </c>
      <c r="Q335" t="str">
        <f t="shared" si="38"/>
        <v>Low</v>
      </c>
      <c r="R335" t="str">
        <f t="shared" si="39"/>
        <v>Elevated</v>
      </c>
      <c r="S335" t="str">
        <f t="shared" si="40"/>
        <v>Good</v>
      </c>
      <c r="T335" t="str">
        <f t="shared" si="41"/>
        <v>Low Active</v>
      </c>
    </row>
    <row r="336" spans="1:20" x14ac:dyDescent="0.25">
      <c r="A336">
        <v>335</v>
      </c>
      <c r="B336" t="s">
        <v>28</v>
      </c>
      <c r="C336">
        <v>54</v>
      </c>
      <c r="D336" t="s">
        <v>34</v>
      </c>
      <c r="E336">
        <v>8.4</v>
      </c>
      <c r="F336">
        <v>9</v>
      </c>
      <c r="G336">
        <v>30</v>
      </c>
      <c r="H336">
        <v>3</v>
      </c>
      <c r="I336" t="s">
        <v>19</v>
      </c>
      <c r="J336" t="s">
        <v>20</v>
      </c>
      <c r="K336">
        <v>65</v>
      </c>
      <c r="L336">
        <v>5000</v>
      </c>
      <c r="M336" t="s">
        <v>17</v>
      </c>
      <c r="N336" t="str">
        <f t="shared" si="35"/>
        <v>Old</v>
      </c>
      <c r="O336" t="str">
        <f t="shared" si="36"/>
        <v>Well Rested</v>
      </c>
      <c r="P336" t="str">
        <f t="shared" si="37"/>
        <v>Low</v>
      </c>
      <c r="Q336" t="str">
        <f t="shared" si="38"/>
        <v>Low</v>
      </c>
      <c r="R336" t="str">
        <f t="shared" si="39"/>
        <v>Elevated</v>
      </c>
      <c r="S336" t="str">
        <f t="shared" si="40"/>
        <v>Good</v>
      </c>
      <c r="T336" t="str">
        <f t="shared" si="41"/>
        <v>Low Active</v>
      </c>
    </row>
    <row r="337" spans="1:20" x14ac:dyDescent="0.25">
      <c r="A337">
        <v>336</v>
      </c>
      <c r="B337" t="s">
        <v>28</v>
      </c>
      <c r="C337">
        <v>54</v>
      </c>
      <c r="D337" t="s">
        <v>34</v>
      </c>
      <c r="E337">
        <v>8.4</v>
      </c>
      <c r="F337">
        <v>9</v>
      </c>
      <c r="G337">
        <v>30</v>
      </c>
      <c r="H337">
        <v>3</v>
      </c>
      <c r="I337" t="s">
        <v>19</v>
      </c>
      <c r="J337" t="s">
        <v>20</v>
      </c>
      <c r="K337">
        <v>65</v>
      </c>
      <c r="L337">
        <v>5000</v>
      </c>
      <c r="M337" t="s">
        <v>17</v>
      </c>
      <c r="N337" t="str">
        <f t="shared" si="35"/>
        <v>Old</v>
      </c>
      <c r="O337" t="str">
        <f t="shared" si="36"/>
        <v>Well Rested</v>
      </c>
      <c r="P337" t="str">
        <f t="shared" si="37"/>
        <v>Low</v>
      </c>
      <c r="Q337" t="str">
        <f t="shared" si="38"/>
        <v>Low</v>
      </c>
      <c r="R337" t="str">
        <f t="shared" si="39"/>
        <v>Elevated</v>
      </c>
      <c r="S337" t="str">
        <f t="shared" si="40"/>
        <v>Good</v>
      </c>
      <c r="T337" t="str">
        <f t="shared" si="41"/>
        <v>Low Active</v>
      </c>
    </row>
    <row r="338" spans="1:20" x14ac:dyDescent="0.25">
      <c r="A338">
        <v>337</v>
      </c>
      <c r="B338" t="s">
        <v>28</v>
      </c>
      <c r="C338">
        <v>54</v>
      </c>
      <c r="D338" t="s">
        <v>34</v>
      </c>
      <c r="E338">
        <v>8.4</v>
      </c>
      <c r="F338">
        <v>9</v>
      </c>
      <c r="G338">
        <v>30</v>
      </c>
      <c r="H338">
        <v>3</v>
      </c>
      <c r="I338" t="s">
        <v>19</v>
      </c>
      <c r="J338" t="s">
        <v>20</v>
      </c>
      <c r="K338">
        <v>65</v>
      </c>
      <c r="L338">
        <v>5000</v>
      </c>
      <c r="M338" t="s">
        <v>17</v>
      </c>
      <c r="N338" t="str">
        <f t="shared" si="35"/>
        <v>Old</v>
      </c>
      <c r="O338" t="str">
        <f t="shared" si="36"/>
        <v>Well Rested</v>
      </c>
      <c r="P338" t="str">
        <f t="shared" si="37"/>
        <v>Low</v>
      </c>
      <c r="Q338" t="str">
        <f t="shared" si="38"/>
        <v>Low</v>
      </c>
      <c r="R338" t="str">
        <f t="shared" si="39"/>
        <v>Elevated</v>
      </c>
      <c r="S338" t="str">
        <f t="shared" si="40"/>
        <v>Good</v>
      </c>
      <c r="T338" t="str">
        <f t="shared" si="41"/>
        <v>Low Active</v>
      </c>
    </row>
    <row r="339" spans="1:20" x14ac:dyDescent="0.25">
      <c r="A339">
        <v>338</v>
      </c>
      <c r="B339" t="s">
        <v>28</v>
      </c>
      <c r="C339">
        <v>54</v>
      </c>
      <c r="D339" t="s">
        <v>34</v>
      </c>
      <c r="E339">
        <v>8.4</v>
      </c>
      <c r="F339">
        <v>9</v>
      </c>
      <c r="G339">
        <v>30</v>
      </c>
      <c r="H339">
        <v>3</v>
      </c>
      <c r="I339" t="s">
        <v>19</v>
      </c>
      <c r="J339" t="s">
        <v>20</v>
      </c>
      <c r="K339">
        <v>65</v>
      </c>
      <c r="L339">
        <v>5000</v>
      </c>
      <c r="M339" t="s">
        <v>17</v>
      </c>
      <c r="N339" t="str">
        <f t="shared" si="35"/>
        <v>Old</v>
      </c>
      <c r="O339" t="str">
        <f t="shared" si="36"/>
        <v>Well Rested</v>
      </c>
      <c r="P339" t="str">
        <f t="shared" si="37"/>
        <v>Low</v>
      </c>
      <c r="Q339" t="str">
        <f t="shared" si="38"/>
        <v>Low</v>
      </c>
      <c r="R339" t="str">
        <f t="shared" si="39"/>
        <v>Elevated</v>
      </c>
      <c r="S339" t="str">
        <f t="shared" si="40"/>
        <v>Good</v>
      </c>
      <c r="T339" t="str">
        <f t="shared" si="41"/>
        <v>Low Active</v>
      </c>
    </row>
    <row r="340" spans="1:20" x14ac:dyDescent="0.25">
      <c r="A340">
        <v>339</v>
      </c>
      <c r="B340" t="s">
        <v>28</v>
      </c>
      <c r="C340">
        <v>54</v>
      </c>
      <c r="D340" t="s">
        <v>34</v>
      </c>
      <c r="E340">
        <v>8.5</v>
      </c>
      <c r="F340">
        <v>9</v>
      </c>
      <c r="G340">
        <v>30</v>
      </c>
      <c r="H340">
        <v>3</v>
      </c>
      <c r="I340" t="s">
        <v>19</v>
      </c>
      <c r="J340" t="s">
        <v>20</v>
      </c>
      <c r="K340">
        <v>65</v>
      </c>
      <c r="L340">
        <v>5000</v>
      </c>
      <c r="M340" t="s">
        <v>17</v>
      </c>
      <c r="N340" t="str">
        <f t="shared" si="35"/>
        <v>Old</v>
      </c>
      <c r="O340" t="str">
        <f t="shared" si="36"/>
        <v>Well Rested</v>
      </c>
      <c r="P340" t="str">
        <f t="shared" si="37"/>
        <v>Low</v>
      </c>
      <c r="Q340" t="str">
        <f t="shared" si="38"/>
        <v>Low</v>
      </c>
      <c r="R340" t="str">
        <f t="shared" si="39"/>
        <v>Elevated</v>
      </c>
      <c r="S340" t="str">
        <f t="shared" si="40"/>
        <v>Good</v>
      </c>
      <c r="T340" t="str">
        <f t="shared" si="41"/>
        <v>Low Active</v>
      </c>
    </row>
    <row r="341" spans="1:20" x14ac:dyDescent="0.25">
      <c r="A341">
        <v>340</v>
      </c>
      <c r="B341" t="s">
        <v>28</v>
      </c>
      <c r="C341">
        <v>55</v>
      </c>
      <c r="D341" t="s">
        <v>29</v>
      </c>
      <c r="E341">
        <v>8.1</v>
      </c>
      <c r="F341">
        <v>9</v>
      </c>
      <c r="G341">
        <v>75</v>
      </c>
      <c r="H341">
        <v>4</v>
      </c>
      <c r="I341" t="s">
        <v>15</v>
      </c>
      <c r="J341" t="s">
        <v>55</v>
      </c>
      <c r="K341">
        <v>72</v>
      </c>
      <c r="L341">
        <v>5000</v>
      </c>
      <c r="M341" t="s">
        <v>24</v>
      </c>
      <c r="N341" t="str">
        <f t="shared" si="35"/>
        <v>Old</v>
      </c>
      <c r="O341" t="str">
        <f t="shared" si="36"/>
        <v>Well Rested</v>
      </c>
      <c r="P341" t="str">
        <f t="shared" si="37"/>
        <v>High</v>
      </c>
      <c r="Q341" t="str">
        <f t="shared" si="38"/>
        <v>Low</v>
      </c>
      <c r="R341" t="str">
        <f t="shared" si="39"/>
        <v>HP Stage 2</v>
      </c>
      <c r="S341" t="str">
        <f t="shared" si="40"/>
        <v>Average</v>
      </c>
      <c r="T341" t="str">
        <f t="shared" si="41"/>
        <v>Low Active</v>
      </c>
    </row>
    <row r="342" spans="1:20" x14ac:dyDescent="0.25">
      <c r="A342">
        <v>341</v>
      </c>
      <c r="B342" t="s">
        <v>28</v>
      </c>
      <c r="C342">
        <v>55</v>
      </c>
      <c r="D342" t="s">
        <v>29</v>
      </c>
      <c r="E342">
        <v>8.1</v>
      </c>
      <c r="F342">
        <v>9</v>
      </c>
      <c r="G342">
        <v>75</v>
      </c>
      <c r="H342">
        <v>4</v>
      </c>
      <c r="I342" t="s">
        <v>15</v>
      </c>
      <c r="J342" t="s">
        <v>55</v>
      </c>
      <c r="K342">
        <v>72</v>
      </c>
      <c r="L342">
        <v>5000</v>
      </c>
      <c r="M342" t="s">
        <v>24</v>
      </c>
      <c r="N342" t="str">
        <f t="shared" si="35"/>
        <v>Old</v>
      </c>
      <c r="O342" t="str">
        <f t="shared" si="36"/>
        <v>Well Rested</v>
      </c>
      <c r="P342" t="str">
        <f t="shared" si="37"/>
        <v>High</v>
      </c>
      <c r="Q342" t="str">
        <f t="shared" si="38"/>
        <v>Low</v>
      </c>
      <c r="R342" t="str">
        <f t="shared" si="39"/>
        <v>HP Stage 2</v>
      </c>
      <c r="S342" t="str">
        <f t="shared" si="40"/>
        <v>Average</v>
      </c>
      <c r="T342" t="str">
        <f t="shared" si="41"/>
        <v>Low Active</v>
      </c>
    </row>
    <row r="343" spans="1:20" x14ac:dyDescent="0.25">
      <c r="A343">
        <v>342</v>
      </c>
      <c r="B343" t="s">
        <v>28</v>
      </c>
      <c r="C343">
        <v>56</v>
      </c>
      <c r="D343" t="s">
        <v>18</v>
      </c>
      <c r="E343">
        <v>8.1999999999999993</v>
      </c>
      <c r="F343">
        <v>9</v>
      </c>
      <c r="G343">
        <v>90</v>
      </c>
      <c r="H343">
        <v>3</v>
      </c>
      <c r="I343" t="s">
        <v>30</v>
      </c>
      <c r="J343" t="s">
        <v>57</v>
      </c>
      <c r="K343">
        <v>65</v>
      </c>
      <c r="L343">
        <v>10000</v>
      </c>
      <c r="M343" t="s">
        <v>17</v>
      </c>
      <c r="N343" t="str">
        <f t="shared" si="35"/>
        <v>Old</v>
      </c>
      <c r="O343" t="str">
        <f t="shared" si="36"/>
        <v>Well Rested</v>
      </c>
      <c r="P343" t="str">
        <f t="shared" si="37"/>
        <v>Very High</v>
      </c>
      <c r="Q343" t="str">
        <f t="shared" si="38"/>
        <v>Low</v>
      </c>
      <c r="R343" t="str">
        <f t="shared" si="39"/>
        <v>Normal</v>
      </c>
      <c r="S343" t="str">
        <f t="shared" si="40"/>
        <v>Good</v>
      </c>
      <c r="T343" t="str">
        <f t="shared" si="41"/>
        <v>Highly Active</v>
      </c>
    </row>
    <row r="344" spans="1:20" x14ac:dyDescent="0.25">
      <c r="A344">
        <v>343</v>
      </c>
      <c r="B344" t="s">
        <v>28</v>
      </c>
      <c r="C344">
        <v>56</v>
      </c>
      <c r="D344" t="s">
        <v>18</v>
      </c>
      <c r="E344">
        <v>8.1999999999999993</v>
      </c>
      <c r="F344">
        <v>9</v>
      </c>
      <c r="G344">
        <v>90</v>
      </c>
      <c r="H344">
        <v>3</v>
      </c>
      <c r="I344" t="s">
        <v>30</v>
      </c>
      <c r="J344" t="s">
        <v>57</v>
      </c>
      <c r="K344">
        <v>65</v>
      </c>
      <c r="L344">
        <v>10000</v>
      </c>
      <c r="M344" t="s">
        <v>17</v>
      </c>
      <c r="N344" t="str">
        <f t="shared" si="35"/>
        <v>Old</v>
      </c>
      <c r="O344" t="str">
        <f t="shared" si="36"/>
        <v>Well Rested</v>
      </c>
      <c r="P344" t="str">
        <f t="shared" si="37"/>
        <v>Very High</v>
      </c>
      <c r="Q344" t="str">
        <f t="shared" si="38"/>
        <v>Low</v>
      </c>
      <c r="R344" t="str">
        <f t="shared" si="39"/>
        <v>Normal</v>
      </c>
      <c r="S344" t="str">
        <f t="shared" si="40"/>
        <v>Good</v>
      </c>
      <c r="T344" t="str">
        <f t="shared" si="41"/>
        <v>Highly Active</v>
      </c>
    </row>
    <row r="345" spans="1:20" x14ac:dyDescent="0.25">
      <c r="A345">
        <v>344</v>
      </c>
      <c r="B345" t="s">
        <v>28</v>
      </c>
      <c r="C345">
        <v>57</v>
      </c>
      <c r="D345" t="s">
        <v>29</v>
      </c>
      <c r="E345">
        <v>8.1</v>
      </c>
      <c r="F345">
        <v>9</v>
      </c>
      <c r="G345">
        <v>75</v>
      </c>
      <c r="H345">
        <v>3</v>
      </c>
      <c r="I345" t="s">
        <v>15</v>
      </c>
      <c r="J345" t="s">
        <v>55</v>
      </c>
      <c r="K345">
        <v>68</v>
      </c>
      <c r="L345">
        <v>7000</v>
      </c>
      <c r="M345" t="s">
        <v>17</v>
      </c>
      <c r="N345" t="str">
        <f t="shared" si="35"/>
        <v>Old</v>
      </c>
      <c r="O345" t="str">
        <f t="shared" si="36"/>
        <v>Well Rested</v>
      </c>
      <c r="P345" t="str">
        <f t="shared" si="37"/>
        <v>High</v>
      </c>
      <c r="Q345" t="str">
        <f t="shared" si="38"/>
        <v>Low</v>
      </c>
      <c r="R345" t="str">
        <f t="shared" si="39"/>
        <v>HP Stage 2</v>
      </c>
      <c r="S345" t="str">
        <f t="shared" si="40"/>
        <v>Good</v>
      </c>
      <c r="T345" t="str">
        <f t="shared" si="41"/>
        <v>Active</v>
      </c>
    </row>
    <row r="346" spans="1:20" x14ac:dyDescent="0.25">
      <c r="A346">
        <v>345</v>
      </c>
      <c r="B346" t="s">
        <v>28</v>
      </c>
      <c r="C346">
        <v>57</v>
      </c>
      <c r="D346" t="s">
        <v>29</v>
      </c>
      <c r="E346">
        <v>8.1999999999999993</v>
      </c>
      <c r="F346">
        <v>9</v>
      </c>
      <c r="G346">
        <v>75</v>
      </c>
      <c r="H346">
        <v>3</v>
      </c>
      <c r="I346" t="s">
        <v>15</v>
      </c>
      <c r="J346" t="s">
        <v>55</v>
      </c>
      <c r="K346">
        <v>68</v>
      </c>
      <c r="L346">
        <v>7000</v>
      </c>
      <c r="M346" t="s">
        <v>24</v>
      </c>
      <c r="N346" t="str">
        <f t="shared" si="35"/>
        <v>Old</v>
      </c>
      <c r="O346" t="str">
        <f t="shared" si="36"/>
        <v>Well Rested</v>
      </c>
      <c r="P346" t="str">
        <f t="shared" si="37"/>
        <v>High</v>
      </c>
      <c r="Q346" t="str">
        <f t="shared" si="38"/>
        <v>Low</v>
      </c>
      <c r="R346" t="str">
        <f t="shared" si="39"/>
        <v>HP Stage 2</v>
      </c>
      <c r="S346" t="str">
        <f t="shared" si="40"/>
        <v>Good</v>
      </c>
      <c r="T346" t="str">
        <f t="shared" si="41"/>
        <v>Active</v>
      </c>
    </row>
    <row r="347" spans="1:20" x14ac:dyDescent="0.25">
      <c r="A347">
        <v>346</v>
      </c>
      <c r="B347" t="s">
        <v>28</v>
      </c>
      <c r="C347">
        <v>57</v>
      </c>
      <c r="D347" t="s">
        <v>29</v>
      </c>
      <c r="E347">
        <v>8.1999999999999993</v>
      </c>
      <c r="F347">
        <v>9</v>
      </c>
      <c r="G347">
        <v>75</v>
      </c>
      <c r="H347">
        <v>3</v>
      </c>
      <c r="I347" t="s">
        <v>15</v>
      </c>
      <c r="J347" t="s">
        <v>55</v>
      </c>
      <c r="K347">
        <v>68</v>
      </c>
      <c r="L347">
        <v>7000</v>
      </c>
      <c r="M347" t="s">
        <v>24</v>
      </c>
      <c r="N347" t="str">
        <f t="shared" si="35"/>
        <v>Old</v>
      </c>
      <c r="O347" t="str">
        <f t="shared" si="36"/>
        <v>Well Rested</v>
      </c>
      <c r="P347" t="str">
        <f t="shared" si="37"/>
        <v>High</v>
      </c>
      <c r="Q347" t="str">
        <f t="shared" si="38"/>
        <v>Low</v>
      </c>
      <c r="R347" t="str">
        <f t="shared" si="39"/>
        <v>HP Stage 2</v>
      </c>
      <c r="S347" t="str">
        <f t="shared" si="40"/>
        <v>Good</v>
      </c>
      <c r="T347" t="str">
        <f t="shared" si="41"/>
        <v>Active</v>
      </c>
    </row>
    <row r="348" spans="1:20" x14ac:dyDescent="0.25">
      <c r="A348">
        <v>347</v>
      </c>
      <c r="B348" t="s">
        <v>28</v>
      </c>
      <c r="C348">
        <v>57</v>
      </c>
      <c r="D348" t="s">
        <v>29</v>
      </c>
      <c r="E348">
        <v>8.1999999999999993</v>
      </c>
      <c r="F348">
        <v>9</v>
      </c>
      <c r="G348">
        <v>75</v>
      </c>
      <c r="H348">
        <v>3</v>
      </c>
      <c r="I348" t="s">
        <v>15</v>
      </c>
      <c r="J348" t="s">
        <v>55</v>
      </c>
      <c r="K348">
        <v>68</v>
      </c>
      <c r="L348">
        <v>7000</v>
      </c>
      <c r="M348" t="s">
        <v>24</v>
      </c>
      <c r="N348" t="str">
        <f t="shared" si="35"/>
        <v>Old</v>
      </c>
      <c r="O348" t="str">
        <f t="shared" si="36"/>
        <v>Well Rested</v>
      </c>
      <c r="P348" t="str">
        <f t="shared" si="37"/>
        <v>High</v>
      </c>
      <c r="Q348" t="str">
        <f t="shared" si="38"/>
        <v>Low</v>
      </c>
      <c r="R348" t="str">
        <f t="shared" si="39"/>
        <v>HP Stage 2</v>
      </c>
      <c r="S348" t="str">
        <f t="shared" si="40"/>
        <v>Good</v>
      </c>
      <c r="T348" t="str">
        <f t="shared" si="41"/>
        <v>Active</v>
      </c>
    </row>
    <row r="349" spans="1:20" x14ac:dyDescent="0.25">
      <c r="A349">
        <v>348</v>
      </c>
      <c r="B349" t="s">
        <v>28</v>
      </c>
      <c r="C349">
        <v>57</v>
      </c>
      <c r="D349" t="s">
        <v>29</v>
      </c>
      <c r="E349">
        <v>8.1999999999999993</v>
      </c>
      <c r="F349">
        <v>9</v>
      </c>
      <c r="G349">
        <v>75</v>
      </c>
      <c r="H349">
        <v>3</v>
      </c>
      <c r="I349" t="s">
        <v>15</v>
      </c>
      <c r="J349" t="s">
        <v>55</v>
      </c>
      <c r="K349">
        <v>68</v>
      </c>
      <c r="L349">
        <v>7000</v>
      </c>
      <c r="M349" t="s">
        <v>24</v>
      </c>
      <c r="N349" t="str">
        <f t="shared" si="35"/>
        <v>Old</v>
      </c>
      <c r="O349" t="str">
        <f t="shared" si="36"/>
        <v>Well Rested</v>
      </c>
      <c r="P349" t="str">
        <f t="shared" si="37"/>
        <v>High</v>
      </c>
      <c r="Q349" t="str">
        <f t="shared" si="38"/>
        <v>Low</v>
      </c>
      <c r="R349" t="str">
        <f t="shared" si="39"/>
        <v>HP Stage 2</v>
      </c>
      <c r="S349" t="str">
        <f t="shared" si="40"/>
        <v>Good</v>
      </c>
      <c r="T349" t="str">
        <f t="shared" si="41"/>
        <v>Active</v>
      </c>
    </row>
    <row r="350" spans="1:20" x14ac:dyDescent="0.25">
      <c r="A350">
        <v>349</v>
      </c>
      <c r="B350" t="s">
        <v>28</v>
      </c>
      <c r="C350">
        <v>57</v>
      </c>
      <c r="D350" t="s">
        <v>29</v>
      </c>
      <c r="E350">
        <v>8.1999999999999993</v>
      </c>
      <c r="F350">
        <v>9</v>
      </c>
      <c r="G350">
        <v>75</v>
      </c>
      <c r="H350">
        <v>3</v>
      </c>
      <c r="I350" t="s">
        <v>15</v>
      </c>
      <c r="J350" t="s">
        <v>55</v>
      </c>
      <c r="K350">
        <v>68</v>
      </c>
      <c r="L350">
        <v>7000</v>
      </c>
      <c r="M350" t="s">
        <v>24</v>
      </c>
      <c r="N350" t="str">
        <f t="shared" si="35"/>
        <v>Old</v>
      </c>
      <c r="O350" t="str">
        <f t="shared" si="36"/>
        <v>Well Rested</v>
      </c>
      <c r="P350" t="str">
        <f t="shared" si="37"/>
        <v>High</v>
      </c>
      <c r="Q350" t="str">
        <f t="shared" si="38"/>
        <v>Low</v>
      </c>
      <c r="R350" t="str">
        <f t="shared" si="39"/>
        <v>HP Stage 2</v>
      </c>
      <c r="S350" t="str">
        <f t="shared" si="40"/>
        <v>Good</v>
      </c>
      <c r="T350" t="str">
        <f t="shared" si="41"/>
        <v>Active</v>
      </c>
    </row>
    <row r="351" spans="1:20" x14ac:dyDescent="0.25">
      <c r="A351">
        <v>350</v>
      </c>
      <c r="B351" t="s">
        <v>28</v>
      </c>
      <c r="C351">
        <v>57</v>
      </c>
      <c r="D351" t="s">
        <v>29</v>
      </c>
      <c r="E351">
        <v>8.1</v>
      </c>
      <c r="F351">
        <v>9</v>
      </c>
      <c r="G351">
        <v>75</v>
      </c>
      <c r="H351">
        <v>3</v>
      </c>
      <c r="I351" t="s">
        <v>15</v>
      </c>
      <c r="J351" t="s">
        <v>55</v>
      </c>
      <c r="K351">
        <v>68</v>
      </c>
      <c r="L351">
        <v>7000</v>
      </c>
      <c r="M351" t="s">
        <v>24</v>
      </c>
      <c r="N351" t="str">
        <f t="shared" si="35"/>
        <v>Old</v>
      </c>
      <c r="O351" t="str">
        <f t="shared" si="36"/>
        <v>Well Rested</v>
      </c>
      <c r="P351" t="str">
        <f t="shared" si="37"/>
        <v>High</v>
      </c>
      <c r="Q351" t="str">
        <f t="shared" si="38"/>
        <v>Low</v>
      </c>
      <c r="R351" t="str">
        <f t="shared" si="39"/>
        <v>HP Stage 2</v>
      </c>
      <c r="S351" t="str">
        <f t="shared" si="40"/>
        <v>Good</v>
      </c>
      <c r="T351" t="str">
        <f t="shared" si="41"/>
        <v>Active</v>
      </c>
    </row>
    <row r="352" spans="1:20" x14ac:dyDescent="0.25">
      <c r="A352">
        <v>351</v>
      </c>
      <c r="B352" t="s">
        <v>28</v>
      </c>
      <c r="C352">
        <v>57</v>
      </c>
      <c r="D352" t="s">
        <v>29</v>
      </c>
      <c r="E352">
        <v>8.1</v>
      </c>
      <c r="F352">
        <v>9</v>
      </c>
      <c r="G352">
        <v>75</v>
      </c>
      <c r="H352">
        <v>3</v>
      </c>
      <c r="I352" t="s">
        <v>15</v>
      </c>
      <c r="J352" t="s">
        <v>55</v>
      </c>
      <c r="K352">
        <v>68</v>
      </c>
      <c r="L352">
        <v>7000</v>
      </c>
      <c r="M352" t="s">
        <v>24</v>
      </c>
      <c r="N352" t="str">
        <f t="shared" si="35"/>
        <v>Old</v>
      </c>
      <c r="O352" t="str">
        <f t="shared" si="36"/>
        <v>Well Rested</v>
      </c>
      <c r="P352" t="str">
        <f t="shared" si="37"/>
        <v>High</v>
      </c>
      <c r="Q352" t="str">
        <f t="shared" si="38"/>
        <v>Low</v>
      </c>
      <c r="R352" t="str">
        <f t="shared" si="39"/>
        <v>HP Stage 2</v>
      </c>
      <c r="S352" t="str">
        <f t="shared" si="40"/>
        <v>Good</v>
      </c>
      <c r="T352" t="str">
        <f t="shared" si="41"/>
        <v>Active</v>
      </c>
    </row>
    <row r="353" spans="1:20" x14ac:dyDescent="0.25">
      <c r="A353">
        <v>352</v>
      </c>
      <c r="B353" t="s">
        <v>28</v>
      </c>
      <c r="C353">
        <v>57</v>
      </c>
      <c r="D353" t="s">
        <v>29</v>
      </c>
      <c r="E353">
        <v>8.1</v>
      </c>
      <c r="F353">
        <v>9</v>
      </c>
      <c r="G353">
        <v>75</v>
      </c>
      <c r="H353">
        <v>3</v>
      </c>
      <c r="I353" t="s">
        <v>15</v>
      </c>
      <c r="J353" t="s">
        <v>55</v>
      </c>
      <c r="K353">
        <v>68</v>
      </c>
      <c r="L353">
        <v>7000</v>
      </c>
      <c r="M353" t="s">
        <v>24</v>
      </c>
      <c r="N353" t="str">
        <f t="shared" si="35"/>
        <v>Old</v>
      </c>
      <c r="O353" t="str">
        <f t="shared" si="36"/>
        <v>Well Rested</v>
      </c>
      <c r="P353" t="str">
        <f t="shared" si="37"/>
        <v>High</v>
      </c>
      <c r="Q353" t="str">
        <f t="shared" si="38"/>
        <v>Low</v>
      </c>
      <c r="R353" t="str">
        <f t="shared" si="39"/>
        <v>HP Stage 2</v>
      </c>
      <c r="S353" t="str">
        <f t="shared" si="40"/>
        <v>Good</v>
      </c>
      <c r="T353" t="str">
        <f t="shared" si="41"/>
        <v>Active</v>
      </c>
    </row>
    <row r="354" spans="1:20" x14ac:dyDescent="0.25">
      <c r="A354">
        <v>353</v>
      </c>
      <c r="B354" t="s">
        <v>28</v>
      </c>
      <c r="C354">
        <v>58</v>
      </c>
      <c r="D354" t="s">
        <v>29</v>
      </c>
      <c r="E354">
        <v>8</v>
      </c>
      <c r="F354">
        <v>9</v>
      </c>
      <c r="G354">
        <v>75</v>
      </c>
      <c r="H354">
        <v>3</v>
      </c>
      <c r="I354" t="s">
        <v>15</v>
      </c>
      <c r="J354" t="s">
        <v>55</v>
      </c>
      <c r="K354">
        <v>68</v>
      </c>
      <c r="L354">
        <v>7000</v>
      </c>
      <c r="M354" t="s">
        <v>24</v>
      </c>
      <c r="N354" t="str">
        <f t="shared" si="35"/>
        <v>Old</v>
      </c>
      <c r="O354" t="str">
        <f t="shared" si="36"/>
        <v>Well Rested</v>
      </c>
      <c r="P354" t="str">
        <f t="shared" si="37"/>
        <v>High</v>
      </c>
      <c r="Q354" t="str">
        <f t="shared" si="38"/>
        <v>Low</v>
      </c>
      <c r="R354" t="str">
        <f t="shared" si="39"/>
        <v>HP Stage 2</v>
      </c>
      <c r="S354" t="str">
        <f t="shared" si="40"/>
        <v>Good</v>
      </c>
      <c r="T354" t="str">
        <f t="shared" si="41"/>
        <v>Active</v>
      </c>
    </row>
    <row r="355" spans="1:20" x14ac:dyDescent="0.25">
      <c r="A355">
        <v>354</v>
      </c>
      <c r="B355" t="s">
        <v>28</v>
      </c>
      <c r="C355">
        <v>58</v>
      </c>
      <c r="D355" t="s">
        <v>29</v>
      </c>
      <c r="E355">
        <v>8</v>
      </c>
      <c r="F355">
        <v>9</v>
      </c>
      <c r="G355">
        <v>75</v>
      </c>
      <c r="H355">
        <v>3</v>
      </c>
      <c r="I355" t="s">
        <v>15</v>
      </c>
      <c r="J355" t="s">
        <v>55</v>
      </c>
      <c r="K355">
        <v>68</v>
      </c>
      <c r="L355">
        <v>7000</v>
      </c>
      <c r="M355" t="s">
        <v>24</v>
      </c>
      <c r="N355" t="str">
        <f t="shared" si="35"/>
        <v>Old</v>
      </c>
      <c r="O355" t="str">
        <f t="shared" si="36"/>
        <v>Well Rested</v>
      </c>
      <c r="P355" t="str">
        <f t="shared" si="37"/>
        <v>High</v>
      </c>
      <c r="Q355" t="str">
        <f t="shared" si="38"/>
        <v>Low</v>
      </c>
      <c r="R355" t="str">
        <f t="shared" si="39"/>
        <v>HP Stage 2</v>
      </c>
      <c r="S355" t="str">
        <f t="shared" si="40"/>
        <v>Good</v>
      </c>
      <c r="T355" t="str">
        <f t="shared" si="41"/>
        <v>Active</v>
      </c>
    </row>
    <row r="356" spans="1:20" x14ac:dyDescent="0.25">
      <c r="A356">
        <v>355</v>
      </c>
      <c r="B356" t="s">
        <v>28</v>
      </c>
      <c r="C356">
        <v>58</v>
      </c>
      <c r="D356" t="s">
        <v>29</v>
      </c>
      <c r="E356">
        <v>8</v>
      </c>
      <c r="F356">
        <v>9</v>
      </c>
      <c r="G356">
        <v>75</v>
      </c>
      <c r="H356">
        <v>3</v>
      </c>
      <c r="I356" t="s">
        <v>15</v>
      </c>
      <c r="J356" t="s">
        <v>55</v>
      </c>
      <c r="K356">
        <v>68</v>
      </c>
      <c r="L356">
        <v>7000</v>
      </c>
      <c r="M356" t="s">
        <v>24</v>
      </c>
      <c r="N356" t="str">
        <f t="shared" si="35"/>
        <v>Old</v>
      </c>
      <c r="O356" t="str">
        <f t="shared" si="36"/>
        <v>Well Rested</v>
      </c>
      <c r="P356" t="str">
        <f t="shared" si="37"/>
        <v>High</v>
      </c>
      <c r="Q356" t="str">
        <f t="shared" si="38"/>
        <v>Low</v>
      </c>
      <c r="R356" t="str">
        <f t="shared" si="39"/>
        <v>HP Stage 2</v>
      </c>
      <c r="S356" t="str">
        <f t="shared" si="40"/>
        <v>Good</v>
      </c>
      <c r="T356" t="str">
        <f t="shared" si="41"/>
        <v>Active</v>
      </c>
    </row>
    <row r="357" spans="1:20" x14ac:dyDescent="0.25">
      <c r="A357">
        <v>356</v>
      </c>
      <c r="B357" t="s">
        <v>28</v>
      </c>
      <c r="C357">
        <v>58</v>
      </c>
      <c r="D357" t="s">
        <v>29</v>
      </c>
      <c r="E357">
        <v>8</v>
      </c>
      <c r="F357">
        <v>9</v>
      </c>
      <c r="G357">
        <v>75</v>
      </c>
      <c r="H357">
        <v>3</v>
      </c>
      <c r="I357" t="s">
        <v>15</v>
      </c>
      <c r="J357" t="s">
        <v>55</v>
      </c>
      <c r="K357">
        <v>68</v>
      </c>
      <c r="L357">
        <v>7000</v>
      </c>
      <c r="M357" t="s">
        <v>24</v>
      </c>
      <c r="N357" t="str">
        <f t="shared" si="35"/>
        <v>Old</v>
      </c>
      <c r="O357" t="str">
        <f t="shared" si="36"/>
        <v>Well Rested</v>
      </c>
      <c r="P357" t="str">
        <f t="shared" si="37"/>
        <v>High</v>
      </c>
      <c r="Q357" t="str">
        <f t="shared" si="38"/>
        <v>Low</v>
      </c>
      <c r="R357" t="str">
        <f t="shared" si="39"/>
        <v>HP Stage 2</v>
      </c>
      <c r="S357" t="str">
        <f t="shared" si="40"/>
        <v>Good</v>
      </c>
      <c r="T357" t="str">
        <f t="shared" si="41"/>
        <v>Active</v>
      </c>
    </row>
    <row r="358" spans="1:20" x14ac:dyDescent="0.25">
      <c r="A358">
        <v>357</v>
      </c>
      <c r="B358" t="s">
        <v>28</v>
      </c>
      <c r="C358">
        <v>58</v>
      </c>
      <c r="D358" t="s">
        <v>29</v>
      </c>
      <c r="E358">
        <v>8</v>
      </c>
      <c r="F358">
        <v>9</v>
      </c>
      <c r="G358">
        <v>75</v>
      </c>
      <c r="H358">
        <v>3</v>
      </c>
      <c r="I358" t="s">
        <v>15</v>
      </c>
      <c r="J358" t="s">
        <v>55</v>
      </c>
      <c r="K358">
        <v>68</v>
      </c>
      <c r="L358">
        <v>7000</v>
      </c>
      <c r="M358" t="s">
        <v>24</v>
      </c>
      <c r="N358" t="str">
        <f t="shared" si="35"/>
        <v>Old</v>
      </c>
      <c r="O358" t="str">
        <f t="shared" si="36"/>
        <v>Well Rested</v>
      </c>
      <c r="P358" t="str">
        <f t="shared" si="37"/>
        <v>High</v>
      </c>
      <c r="Q358" t="str">
        <f t="shared" si="38"/>
        <v>Low</v>
      </c>
      <c r="R358" t="str">
        <f t="shared" si="39"/>
        <v>HP Stage 2</v>
      </c>
      <c r="S358" t="str">
        <f t="shared" si="40"/>
        <v>Good</v>
      </c>
      <c r="T358" t="str">
        <f t="shared" si="41"/>
        <v>Active</v>
      </c>
    </row>
    <row r="359" spans="1:20" x14ac:dyDescent="0.25">
      <c r="A359">
        <v>358</v>
      </c>
      <c r="B359" t="s">
        <v>28</v>
      </c>
      <c r="C359">
        <v>58</v>
      </c>
      <c r="D359" t="s">
        <v>29</v>
      </c>
      <c r="E359">
        <v>8</v>
      </c>
      <c r="F359">
        <v>9</v>
      </c>
      <c r="G359">
        <v>75</v>
      </c>
      <c r="H359">
        <v>3</v>
      </c>
      <c r="I359" t="s">
        <v>15</v>
      </c>
      <c r="J359" t="s">
        <v>55</v>
      </c>
      <c r="K359">
        <v>68</v>
      </c>
      <c r="L359">
        <v>7000</v>
      </c>
      <c r="M359" t="s">
        <v>24</v>
      </c>
      <c r="N359" t="str">
        <f t="shared" si="35"/>
        <v>Old</v>
      </c>
      <c r="O359" t="str">
        <f t="shared" si="36"/>
        <v>Well Rested</v>
      </c>
      <c r="P359" t="str">
        <f t="shared" si="37"/>
        <v>High</v>
      </c>
      <c r="Q359" t="str">
        <f t="shared" si="38"/>
        <v>Low</v>
      </c>
      <c r="R359" t="str">
        <f t="shared" si="39"/>
        <v>HP Stage 2</v>
      </c>
      <c r="S359" t="str">
        <f t="shared" si="40"/>
        <v>Good</v>
      </c>
      <c r="T359" t="str">
        <f t="shared" si="41"/>
        <v>Active</v>
      </c>
    </row>
    <row r="360" spans="1:20" x14ac:dyDescent="0.25">
      <c r="A360">
        <v>359</v>
      </c>
      <c r="B360" t="s">
        <v>28</v>
      </c>
      <c r="C360">
        <v>59</v>
      </c>
      <c r="D360" t="s">
        <v>29</v>
      </c>
      <c r="E360">
        <v>8</v>
      </c>
      <c r="F360">
        <v>9</v>
      </c>
      <c r="G360">
        <v>75</v>
      </c>
      <c r="H360">
        <v>3</v>
      </c>
      <c r="I360" t="s">
        <v>15</v>
      </c>
      <c r="J360" t="s">
        <v>55</v>
      </c>
      <c r="K360">
        <v>68</v>
      </c>
      <c r="L360">
        <v>7000</v>
      </c>
      <c r="M360" t="s">
        <v>17</v>
      </c>
      <c r="N360" t="str">
        <f t="shared" si="35"/>
        <v>Old</v>
      </c>
      <c r="O360" t="str">
        <f t="shared" si="36"/>
        <v>Well Rested</v>
      </c>
      <c r="P360" t="str">
        <f t="shared" si="37"/>
        <v>High</v>
      </c>
      <c r="Q360" t="str">
        <f t="shared" si="38"/>
        <v>Low</v>
      </c>
      <c r="R360" t="str">
        <f t="shared" si="39"/>
        <v>HP Stage 2</v>
      </c>
      <c r="S360" t="str">
        <f t="shared" si="40"/>
        <v>Good</v>
      </c>
      <c r="T360" t="str">
        <f t="shared" si="41"/>
        <v>Active</v>
      </c>
    </row>
    <row r="361" spans="1:20" x14ac:dyDescent="0.25">
      <c r="A361">
        <v>360</v>
      </c>
      <c r="B361" t="s">
        <v>28</v>
      </c>
      <c r="C361">
        <v>59</v>
      </c>
      <c r="D361" t="s">
        <v>29</v>
      </c>
      <c r="E361">
        <v>8.1</v>
      </c>
      <c r="F361">
        <v>9</v>
      </c>
      <c r="G361">
        <v>75</v>
      </c>
      <c r="H361">
        <v>3</v>
      </c>
      <c r="I361" t="s">
        <v>15</v>
      </c>
      <c r="J361" t="s">
        <v>55</v>
      </c>
      <c r="K361">
        <v>68</v>
      </c>
      <c r="L361">
        <v>7000</v>
      </c>
      <c r="M361" t="s">
        <v>17</v>
      </c>
      <c r="N361" t="str">
        <f t="shared" si="35"/>
        <v>Old</v>
      </c>
      <c r="O361" t="str">
        <f t="shared" si="36"/>
        <v>Well Rested</v>
      </c>
      <c r="P361" t="str">
        <f t="shared" si="37"/>
        <v>High</v>
      </c>
      <c r="Q361" t="str">
        <f t="shared" si="38"/>
        <v>Low</v>
      </c>
      <c r="R361" t="str">
        <f t="shared" si="39"/>
        <v>HP Stage 2</v>
      </c>
      <c r="S361" t="str">
        <f t="shared" si="40"/>
        <v>Good</v>
      </c>
      <c r="T361" t="str">
        <f t="shared" si="41"/>
        <v>Active</v>
      </c>
    </row>
    <row r="362" spans="1:20" x14ac:dyDescent="0.25">
      <c r="A362">
        <v>361</v>
      </c>
      <c r="B362" t="s">
        <v>28</v>
      </c>
      <c r="C362">
        <v>59</v>
      </c>
      <c r="D362" t="s">
        <v>29</v>
      </c>
      <c r="E362">
        <v>8.1999999999999993</v>
      </c>
      <c r="F362">
        <v>9</v>
      </c>
      <c r="G362">
        <v>75</v>
      </c>
      <c r="H362">
        <v>3</v>
      </c>
      <c r="I362" t="s">
        <v>15</v>
      </c>
      <c r="J362" t="s">
        <v>55</v>
      </c>
      <c r="K362">
        <v>68</v>
      </c>
      <c r="L362">
        <v>7000</v>
      </c>
      <c r="M362" t="s">
        <v>24</v>
      </c>
      <c r="N362" t="str">
        <f t="shared" si="35"/>
        <v>Old</v>
      </c>
      <c r="O362" t="str">
        <f t="shared" si="36"/>
        <v>Well Rested</v>
      </c>
      <c r="P362" t="str">
        <f t="shared" si="37"/>
        <v>High</v>
      </c>
      <c r="Q362" t="str">
        <f t="shared" si="38"/>
        <v>Low</v>
      </c>
      <c r="R362" t="str">
        <f t="shared" si="39"/>
        <v>HP Stage 2</v>
      </c>
      <c r="S362" t="str">
        <f t="shared" si="40"/>
        <v>Good</v>
      </c>
      <c r="T362" t="str">
        <f t="shared" si="41"/>
        <v>Active</v>
      </c>
    </row>
    <row r="363" spans="1:20" x14ac:dyDescent="0.25">
      <c r="A363">
        <v>362</v>
      </c>
      <c r="B363" t="s">
        <v>28</v>
      </c>
      <c r="C363">
        <v>59</v>
      </c>
      <c r="D363" t="s">
        <v>29</v>
      </c>
      <c r="E363">
        <v>8.1999999999999993</v>
      </c>
      <c r="F363">
        <v>9</v>
      </c>
      <c r="G363">
        <v>75</v>
      </c>
      <c r="H363">
        <v>3</v>
      </c>
      <c r="I363" t="s">
        <v>15</v>
      </c>
      <c r="J363" t="s">
        <v>55</v>
      </c>
      <c r="K363">
        <v>68</v>
      </c>
      <c r="L363">
        <v>7000</v>
      </c>
      <c r="M363" t="s">
        <v>24</v>
      </c>
      <c r="N363" t="str">
        <f t="shared" si="35"/>
        <v>Old</v>
      </c>
      <c r="O363" t="str">
        <f t="shared" si="36"/>
        <v>Well Rested</v>
      </c>
      <c r="P363" t="str">
        <f t="shared" si="37"/>
        <v>High</v>
      </c>
      <c r="Q363" t="str">
        <f t="shared" si="38"/>
        <v>Low</v>
      </c>
      <c r="R363" t="str">
        <f t="shared" si="39"/>
        <v>HP Stage 2</v>
      </c>
      <c r="S363" t="str">
        <f t="shared" si="40"/>
        <v>Good</v>
      </c>
      <c r="T363" t="str">
        <f t="shared" si="41"/>
        <v>Active</v>
      </c>
    </row>
    <row r="364" spans="1:20" x14ac:dyDescent="0.25">
      <c r="A364">
        <v>363</v>
      </c>
      <c r="B364" t="s">
        <v>28</v>
      </c>
      <c r="C364">
        <v>59</v>
      </c>
      <c r="D364" t="s">
        <v>29</v>
      </c>
      <c r="E364">
        <v>8.1999999999999993</v>
      </c>
      <c r="F364">
        <v>9</v>
      </c>
      <c r="G364">
        <v>75</v>
      </c>
      <c r="H364">
        <v>3</v>
      </c>
      <c r="I364" t="s">
        <v>15</v>
      </c>
      <c r="J364" t="s">
        <v>55</v>
      </c>
      <c r="K364">
        <v>68</v>
      </c>
      <c r="L364">
        <v>7000</v>
      </c>
      <c r="M364" t="s">
        <v>24</v>
      </c>
      <c r="N364" t="str">
        <f t="shared" si="35"/>
        <v>Old</v>
      </c>
      <c r="O364" t="str">
        <f t="shared" si="36"/>
        <v>Well Rested</v>
      </c>
      <c r="P364" t="str">
        <f t="shared" si="37"/>
        <v>High</v>
      </c>
      <c r="Q364" t="str">
        <f t="shared" si="38"/>
        <v>Low</v>
      </c>
      <c r="R364" t="str">
        <f t="shared" si="39"/>
        <v>HP Stage 2</v>
      </c>
      <c r="S364" t="str">
        <f t="shared" si="40"/>
        <v>Good</v>
      </c>
      <c r="T364" t="str">
        <f t="shared" si="41"/>
        <v>Active</v>
      </c>
    </row>
    <row r="365" spans="1:20" x14ac:dyDescent="0.25">
      <c r="A365">
        <v>364</v>
      </c>
      <c r="B365" t="s">
        <v>28</v>
      </c>
      <c r="C365">
        <v>59</v>
      </c>
      <c r="D365" t="s">
        <v>29</v>
      </c>
      <c r="E365">
        <v>8.1999999999999993</v>
      </c>
      <c r="F365">
        <v>9</v>
      </c>
      <c r="G365">
        <v>75</v>
      </c>
      <c r="H365">
        <v>3</v>
      </c>
      <c r="I365" t="s">
        <v>15</v>
      </c>
      <c r="J365" t="s">
        <v>55</v>
      </c>
      <c r="K365">
        <v>68</v>
      </c>
      <c r="L365">
        <v>7000</v>
      </c>
      <c r="M365" t="s">
        <v>24</v>
      </c>
      <c r="N365" t="str">
        <f t="shared" si="35"/>
        <v>Old</v>
      </c>
      <c r="O365" t="str">
        <f t="shared" si="36"/>
        <v>Well Rested</v>
      </c>
      <c r="P365" t="str">
        <f t="shared" si="37"/>
        <v>High</v>
      </c>
      <c r="Q365" t="str">
        <f t="shared" si="38"/>
        <v>Low</v>
      </c>
      <c r="R365" t="str">
        <f t="shared" si="39"/>
        <v>HP Stage 2</v>
      </c>
      <c r="S365" t="str">
        <f t="shared" si="40"/>
        <v>Good</v>
      </c>
      <c r="T365" t="str">
        <f t="shared" si="41"/>
        <v>Active</v>
      </c>
    </row>
    <row r="366" spans="1:20" x14ac:dyDescent="0.25">
      <c r="A366">
        <v>365</v>
      </c>
      <c r="B366" t="s">
        <v>28</v>
      </c>
      <c r="C366">
        <v>59</v>
      </c>
      <c r="D366" t="s">
        <v>29</v>
      </c>
      <c r="E366">
        <v>8</v>
      </c>
      <c r="F366">
        <v>9</v>
      </c>
      <c r="G366">
        <v>75</v>
      </c>
      <c r="H366">
        <v>3</v>
      </c>
      <c r="I366" t="s">
        <v>15</v>
      </c>
      <c r="J366" t="s">
        <v>55</v>
      </c>
      <c r="K366">
        <v>68</v>
      </c>
      <c r="L366">
        <v>7000</v>
      </c>
      <c r="M366" t="s">
        <v>24</v>
      </c>
      <c r="N366" t="str">
        <f t="shared" si="35"/>
        <v>Old</v>
      </c>
      <c r="O366" t="str">
        <f t="shared" si="36"/>
        <v>Well Rested</v>
      </c>
      <c r="P366" t="str">
        <f t="shared" si="37"/>
        <v>High</v>
      </c>
      <c r="Q366" t="str">
        <f t="shared" si="38"/>
        <v>Low</v>
      </c>
      <c r="R366" t="str">
        <f t="shared" si="39"/>
        <v>HP Stage 2</v>
      </c>
      <c r="S366" t="str">
        <f t="shared" si="40"/>
        <v>Good</v>
      </c>
      <c r="T366" t="str">
        <f t="shared" si="41"/>
        <v>Active</v>
      </c>
    </row>
    <row r="367" spans="1:20" x14ac:dyDescent="0.25">
      <c r="A367">
        <v>366</v>
      </c>
      <c r="B367" t="s">
        <v>28</v>
      </c>
      <c r="C367">
        <v>59</v>
      </c>
      <c r="D367" t="s">
        <v>29</v>
      </c>
      <c r="E367">
        <v>8</v>
      </c>
      <c r="F367">
        <v>9</v>
      </c>
      <c r="G367">
        <v>75</v>
      </c>
      <c r="H367">
        <v>3</v>
      </c>
      <c r="I367" t="s">
        <v>15</v>
      </c>
      <c r="J367" t="s">
        <v>55</v>
      </c>
      <c r="K367">
        <v>68</v>
      </c>
      <c r="L367">
        <v>7000</v>
      </c>
      <c r="M367" t="s">
        <v>24</v>
      </c>
      <c r="N367" t="str">
        <f t="shared" si="35"/>
        <v>Old</v>
      </c>
      <c r="O367" t="str">
        <f t="shared" si="36"/>
        <v>Well Rested</v>
      </c>
      <c r="P367" t="str">
        <f t="shared" si="37"/>
        <v>High</v>
      </c>
      <c r="Q367" t="str">
        <f t="shared" si="38"/>
        <v>Low</v>
      </c>
      <c r="R367" t="str">
        <f t="shared" si="39"/>
        <v>HP Stage 2</v>
      </c>
      <c r="S367" t="str">
        <f t="shared" si="40"/>
        <v>Good</v>
      </c>
      <c r="T367" t="str">
        <f t="shared" si="41"/>
        <v>Active</v>
      </c>
    </row>
    <row r="368" spans="1:20" x14ac:dyDescent="0.25">
      <c r="A368">
        <v>367</v>
      </c>
      <c r="B368" t="s">
        <v>28</v>
      </c>
      <c r="C368">
        <v>59</v>
      </c>
      <c r="D368" t="s">
        <v>29</v>
      </c>
      <c r="E368">
        <v>8.1</v>
      </c>
      <c r="F368">
        <v>9</v>
      </c>
      <c r="G368">
        <v>75</v>
      </c>
      <c r="H368">
        <v>3</v>
      </c>
      <c r="I368" t="s">
        <v>15</v>
      </c>
      <c r="J368" t="s">
        <v>55</v>
      </c>
      <c r="K368">
        <v>68</v>
      </c>
      <c r="L368">
        <v>7000</v>
      </c>
      <c r="M368" t="s">
        <v>24</v>
      </c>
      <c r="N368" t="str">
        <f t="shared" si="35"/>
        <v>Old</v>
      </c>
      <c r="O368" t="str">
        <f t="shared" si="36"/>
        <v>Well Rested</v>
      </c>
      <c r="P368" t="str">
        <f t="shared" si="37"/>
        <v>High</v>
      </c>
      <c r="Q368" t="str">
        <f t="shared" si="38"/>
        <v>Low</v>
      </c>
      <c r="R368" t="str">
        <f t="shared" si="39"/>
        <v>HP Stage 2</v>
      </c>
      <c r="S368" t="str">
        <f t="shared" si="40"/>
        <v>Good</v>
      </c>
      <c r="T368" t="str">
        <f t="shared" si="41"/>
        <v>Active</v>
      </c>
    </row>
    <row r="369" spans="1:20" x14ac:dyDescent="0.25">
      <c r="A369">
        <v>368</v>
      </c>
      <c r="B369" t="s">
        <v>28</v>
      </c>
      <c r="C369">
        <v>59</v>
      </c>
      <c r="D369" t="s">
        <v>29</v>
      </c>
      <c r="E369">
        <v>8</v>
      </c>
      <c r="F369">
        <v>9</v>
      </c>
      <c r="G369">
        <v>75</v>
      </c>
      <c r="H369">
        <v>3</v>
      </c>
      <c r="I369" t="s">
        <v>15</v>
      </c>
      <c r="J369" t="s">
        <v>55</v>
      </c>
      <c r="K369">
        <v>68</v>
      </c>
      <c r="L369">
        <v>7000</v>
      </c>
      <c r="M369" t="s">
        <v>24</v>
      </c>
      <c r="N369" t="str">
        <f t="shared" si="35"/>
        <v>Old</v>
      </c>
      <c r="O369" t="str">
        <f t="shared" si="36"/>
        <v>Well Rested</v>
      </c>
      <c r="P369" t="str">
        <f t="shared" si="37"/>
        <v>High</v>
      </c>
      <c r="Q369" t="str">
        <f t="shared" si="38"/>
        <v>Low</v>
      </c>
      <c r="R369" t="str">
        <f t="shared" si="39"/>
        <v>HP Stage 2</v>
      </c>
      <c r="S369" t="str">
        <f t="shared" si="40"/>
        <v>Good</v>
      </c>
      <c r="T369" t="str">
        <f t="shared" si="41"/>
        <v>Active</v>
      </c>
    </row>
    <row r="370" spans="1:20" x14ac:dyDescent="0.25">
      <c r="A370">
        <v>369</v>
      </c>
      <c r="B370" t="s">
        <v>28</v>
      </c>
      <c r="C370">
        <v>59</v>
      </c>
      <c r="D370" t="s">
        <v>29</v>
      </c>
      <c r="E370">
        <v>8.1</v>
      </c>
      <c r="F370">
        <v>9</v>
      </c>
      <c r="G370">
        <v>75</v>
      </c>
      <c r="H370">
        <v>3</v>
      </c>
      <c r="I370" t="s">
        <v>15</v>
      </c>
      <c r="J370" t="s">
        <v>55</v>
      </c>
      <c r="K370">
        <v>68</v>
      </c>
      <c r="L370">
        <v>7000</v>
      </c>
      <c r="M370" t="s">
        <v>24</v>
      </c>
      <c r="N370" t="str">
        <f t="shared" si="35"/>
        <v>Old</v>
      </c>
      <c r="O370" t="str">
        <f t="shared" si="36"/>
        <v>Well Rested</v>
      </c>
      <c r="P370" t="str">
        <f t="shared" si="37"/>
        <v>High</v>
      </c>
      <c r="Q370" t="str">
        <f t="shared" si="38"/>
        <v>Low</v>
      </c>
      <c r="R370" t="str">
        <f t="shared" si="39"/>
        <v>HP Stage 2</v>
      </c>
      <c r="S370" t="str">
        <f t="shared" si="40"/>
        <v>Good</v>
      </c>
      <c r="T370" t="str">
        <f t="shared" si="41"/>
        <v>Active</v>
      </c>
    </row>
    <row r="371" spans="1:20" x14ac:dyDescent="0.25">
      <c r="A371">
        <v>370</v>
      </c>
      <c r="B371" t="s">
        <v>28</v>
      </c>
      <c r="C371">
        <v>59</v>
      </c>
      <c r="D371" t="s">
        <v>29</v>
      </c>
      <c r="E371">
        <v>8.1</v>
      </c>
      <c r="F371">
        <v>9</v>
      </c>
      <c r="G371">
        <v>75</v>
      </c>
      <c r="H371">
        <v>3</v>
      </c>
      <c r="I371" t="s">
        <v>15</v>
      </c>
      <c r="J371" t="s">
        <v>55</v>
      </c>
      <c r="K371">
        <v>68</v>
      </c>
      <c r="L371">
        <v>7000</v>
      </c>
      <c r="M371" t="s">
        <v>24</v>
      </c>
      <c r="N371" t="str">
        <f t="shared" si="35"/>
        <v>Old</v>
      </c>
      <c r="O371" t="str">
        <f t="shared" si="36"/>
        <v>Well Rested</v>
      </c>
      <c r="P371" t="str">
        <f t="shared" si="37"/>
        <v>High</v>
      </c>
      <c r="Q371" t="str">
        <f t="shared" si="38"/>
        <v>Low</v>
      </c>
      <c r="R371" t="str">
        <f t="shared" si="39"/>
        <v>HP Stage 2</v>
      </c>
      <c r="S371" t="str">
        <f t="shared" si="40"/>
        <v>Good</v>
      </c>
      <c r="T371" t="str">
        <f t="shared" si="41"/>
        <v>Active</v>
      </c>
    </row>
    <row r="372" spans="1:20" x14ac:dyDescent="0.25">
      <c r="A372">
        <v>371</v>
      </c>
      <c r="B372" t="s">
        <v>28</v>
      </c>
      <c r="C372">
        <v>59</v>
      </c>
      <c r="D372" t="s">
        <v>29</v>
      </c>
      <c r="E372">
        <v>8</v>
      </c>
      <c r="F372">
        <v>9</v>
      </c>
      <c r="G372">
        <v>75</v>
      </c>
      <c r="H372">
        <v>3</v>
      </c>
      <c r="I372" t="s">
        <v>15</v>
      </c>
      <c r="J372" t="s">
        <v>55</v>
      </c>
      <c r="K372">
        <v>68</v>
      </c>
      <c r="L372">
        <v>7000</v>
      </c>
      <c r="M372" t="s">
        <v>24</v>
      </c>
      <c r="N372" t="str">
        <f t="shared" si="35"/>
        <v>Old</v>
      </c>
      <c r="O372" t="str">
        <f t="shared" si="36"/>
        <v>Well Rested</v>
      </c>
      <c r="P372" t="str">
        <f t="shared" si="37"/>
        <v>High</v>
      </c>
      <c r="Q372" t="str">
        <f t="shared" si="38"/>
        <v>Low</v>
      </c>
      <c r="R372" t="str">
        <f t="shared" si="39"/>
        <v>HP Stage 2</v>
      </c>
      <c r="S372" t="str">
        <f t="shared" si="40"/>
        <v>Good</v>
      </c>
      <c r="T372" t="str">
        <f t="shared" si="41"/>
        <v>Active</v>
      </c>
    </row>
    <row r="373" spans="1:20" x14ac:dyDescent="0.25">
      <c r="A373">
        <v>372</v>
      </c>
      <c r="B373" t="s">
        <v>28</v>
      </c>
      <c r="C373">
        <v>59</v>
      </c>
      <c r="D373" t="s">
        <v>29</v>
      </c>
      <c r="E373">
        <v>8.1</v>
      </c>
      <c r="F373">
        <v>9</v>
      </c>
      <c r="G373">
        <v>75</v>
      </c>
      <c r="H373">
        <v>3</v>
      </c>
      <c r="I373" t="s">
        <v>15</v>
      </c>
      <c r="J373" t="s">
        <v>55</v>
      </c>
      <c r="K373">
        <v>68</v>
      </c>
      <c r="L373">
        <v>7000</v>
      </c>
      <c r="M373" t="s">
        <v>24</v>
      </c>
      <c r="N373" t="str">
        <f t="shared" si="35"/>
        <v>Old</v>
      </c>
      <c r="O373" t="str">
        <f t="shared" si="36"/>
        <v>Well Rested</v>
      </c>
      <c r="P373" t="str">
        <f t="shared" si="37"/>
        <v>High</v>
      </c>
      <c r="Q373" t="str">
        <f t="shared" si="38"/>
        <v>Low</v>
      </c>
      <c r="R373" t="str">
        <f t="shared" si="39"/>
        <v>HP Stage 2</v>
      </c>
      <c r="S373" t="str">
        <f t="shared" si="40"/>
        <v>Good</v>
      </c>
      <c r="T373" t="str">
        <f t="shared" si="41"/>
        <v>Active</v>
      </c>
    </row>
    <row r="374" spans="1:20" x14ac:dyDescent="0.25">
      <c r="A374">
        <v>373</v>
      </c>
      <c r="B374" t="s">
        <v>28</v>
      </c>
      <c r="C374">
        <v>59</v>
      </c>
      <c r="D374" t="s">
        <v>29</v>
      </c>
      <c r="E374">
        <v>8.1</v>
      </c>
      <c r="F374">
        <v>9</v>
      </c>
      <c r="G374">
        <v>75</v>
      </c>
      <c r="H374">
        <v>3</v>
      </c>
      <c r="I374" t="s">
        <v>15</v>
      </c>
      <c r="J374" t="s">
        <v>55</v>
      </c>
      <c r="K374">
        <v>68</v>
      </c>
      <c r="L374">
        <v>7000</v>
      </c>
      <c r="M374" t="s">
        <v>24</v>
      </c>
      <c r="N374" t="str">
        <f t="shared" si="35"/>
        <v>Old</v>
      </c>
      <c r="O374" t="str">
        <f t="shared" si="36"/>
        <v>Well Rested</v>
      </c>
      <c r="P374" t="str">
        <f t="shared" si="37"/>
        <v>High</v>
      </c>
      <c r="Q374" t="str">
        <f t="shared" si="38"/>
        <v>Low</v>
      </c>
      <c r="R374" t="str">
        <f t="shared" si="39"/>
        <v>HP Stage 2</v>
      </c>
      <c r="S374" t="str">
        <f t="shared" si="40"/>
        <v>Good</v>
      </c>
      <c r="T374" t="str">
        <f t="shared" si="41"/>
        <v>Active</v>
      </c>
    </row>
    <row r="375" spans="1:20" x14ac:dyDescent="0.25">
      <c r="A375">
        <v>374</v>
      </c>
      <c r="B375" t="s">
        <v>28</v>
      </c>
      <c r="C375">
        <v>59</v>
      </c>
      <c r="D375" t="s">
        <v>29</v>
      </c>
      <c r="E375">
        <v>8.1</v>
      </c>
      <c r="F375">
        <v>9</v>
      </c>
      <c r="G375">
        <v>75</v>
      </c>
      <c r="H375">
        <v>3</v>
      </c>
      <c r="I375" t="s">
        <v>15</v>
      </c>
      <c r="J375" t="s">
        <v>55</v>
      </c>
      <c r="K375">
        <v>68</v>
      </c>
      <c r="L375">
        <v>7000</v>
      </c>
      <c r="M375" t="s">
        <v>24</v>
      </c>
      <c r="N375" t="str">
        <f t="shared" si="35"/>
        <v>Old</v>
      </c>
      <c r="O375" t="str">
        <f t="shared" si="36"/>
        <v>Well Rested</v>
      </c>
      <c r="P375" t="str">
        <f t="shared" si="37"/>
        <v>High</v>
      </c>
      <c r="Q375" t="str">
        <f t="shared" si="38"/>
        <v>Low</v>
      </c>
      <c r="R375" t="str">
        <f t="shared" si="39"/>
        <v>HP Stage 2</v>
      </c>
      <c r="S375" t="str">
        <f t="shared" si="40"/>
        <v>Good</v>
      </c>
      <c r="T375" t="str">
        <f t="shared" si="41"/>
        <v>Active</v>
      </c>
    </row>
  </sheetData>
  <autoFilter ref="A1:T375" xr:uid="{0A0FADFB-F1C4-4B2D-BE7E-DADBE2834B1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Sleep_health_and_lifestyle_data</vt:lpstr>
      <vt:lpstr>Pivot Table</vt:lpstr>
      <vt:lpstr>Dashboard</vt:lpstr>
      <vt:lpstr>Work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 bamidele</cp:lastModifiedBy>
  <dcterms:created xsi:type="dcterms:W3CDTF">2026-02-11T10:42:22Z</dcterms:created>
  <dcterms:modified xsi:type="dcterms:W3CDTF">2026-02-11T12:22:24Z</dcterms:modified>
</cp:coreProperties>
</file>